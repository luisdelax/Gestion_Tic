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5.xml" ContentType="application/vnd.openxmlformats-officedocument.spreadsheetml.worksheet+xml"/>
  <Override PartName="/xl/tables/table13.xml" ContentType="application/vnd.openxmlformats-officedocument.spreadsheetml.table+xml"/>
  <Override PartName="/xl/tables/table11.xml" ContentType="application/vnd.openxmlformats-officedocument.spreadsheetml.table+xml"/>
  <Override PartName="/xl/tables/table43.xml" ContentType="application/vnd.openxmlformats-officedocument.spreadsheetml.table+xml"/>
  <Override PartName="/xl/tables/table42.xml" ContentType="application/vnd.openxmlformats-officedocument.spreadsheetml.table+xml"/>
  <Override PartName="/xl/tables/table40.xml" ContentType="application/vnd.openxmlformats-officedocument.spreadsheetml.table+xml"/>
  <Override PartName="/xl/tables/table38.xml" ContentType="application/vnd.openxmlformats-officedocument.spreadsheetml.table+xml"/>
  <Override PartName="/xl/tables/table37.xml" ContentType="application/vnd.openxmlformats-officedocument.spreadsheetml.table+xml"/>
  <Override PartName="/xl/tables/table36.xml" ContentType="application/vnd.openxmlformats-officedocument.spreadsheetml.table+xml"/>
  <Override PartName="/xl/tables/table23.xml" ContentType="application/vnd.openxmlformats-officedocument.spreadsheetml.table+xml"/>
  <Override PartName="/xl/tables/table28.xml" ContentType="application/vnd.openxmlformats-officedocument.spreadsheetml.table+xml"/>
  <Override PartName="/xl/tables/table3.xml" ContentType="application/vnd.openxmlformats-officedocument.spreadsheetml.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ables/table14.xml" ContentType="application/vnd.openxmlformats-officedocument.spreadsheetml.table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tables/table21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15.xml" ContentType="application/vnd.openxmlformats-officedocument.spreadsheetml.table+xml"/>
  <Override PartName="/xl/tables/table39.xml" ContentType="application/vnd.openxmlformats-officedocument.spreadsheetml.table+xml"/>
  <Override PartName="/docProps/core.xml" ContentType="application/vnd.openxmlformats-package.core-properties+xml"/>
  <Override PartName="/xl/tables/table26.xml" ContentType="application/vnd.openxmlformats-officedocument.spreadsheetml.table+xml"/>
  <Override PartName="/xl/theme/theme1.xml" ContentType="application/vnd.openxmlformats-officedocument.theme+xml"/>
  <Override PartName="/xl/tables/table33.xml" ContentType="application/vnd.openxmlformats-officedocument.spreadsheetml.table+xml"/>
  <Override PartName="/customXml/itemProps1.xml" ContentType="application/vnd.openxmlformats-officedocument.customXmlProperties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20.xml" ContentType="application/vnd.openxmlformats-officedocument.spreadsheetml.table+xml"/>
  <Override PartName="/xl/tables/table16.xml" ContentType="application/vnd.openxmlformats-officedocument.spreadsheetml.tabl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ables/table32.xml" ContentType="application/vnd.openxmlformats-officedocument.spreadsheetml.table+xml"/>
  <Override PartName="/xl/tables/table22.xml" ContentType="application/vnd.openxmlformats-officedocument.spreadsheetml.table+xml"/>
  <Override PartName="/xl/worksheets/sheet4.xml" ContentType="application/vnd.openxmlformats-officedocument.spreadsheetml.worksheet+xml"/>
  <Override PartName="/xl/tables/table25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31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tables/table29.xml" ContentType="application/vnd.openxmlformats-officedocument.spreadsheetml.table+xml"/>
  <Override PartName="/xl/tables/table18.xml" ContentType="application/vnd.openxmlformats-officedocument.spreadsheetml.table+xml"/>
  <Override PartName="/xl/worksheets/sheet1.xml" ContentType="application/vnd.openxmlformats-officedocument.spreadsheetml.worksheet+xml"/>
  <Override PartName="/xl/tables/table19.xml" ContentType="application/vnd.openxmlformats-officedocument.spreadsheetml.table+xml"/>
  <Override PartName="/xl/tables/table41.xml" ContentType="application/vnd.openxmlformats-officedocument.spreadsheetml.table+xml"/>
  <Override PartName="/xl/tables/table24.xml" ContentType="application/vnd.openxmlformats-officedocument.spreadsheetml.table+xml"/>
  <Override PartName="/xl/tables/table27.xml" ContentType="application/vnd.openxmlformats-officedocument.spreadsheetml.table+xml"/>
  <Override PartName="/xl/tables/table30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5"/>
  </bookViews>
  <sheets>
    <sheet name="Listas" sheetId="1" state="hidden" r:id="rId5"/>
    <sheet name="SEDES" sheetId="2" state="hidden" r:id="rId6"/>
    <sheet name="Instrucciones" sheetId="3" state="visible" r:id="rId7"/>
    <sheet name="f" sheetId="4" state="hidden" r:id="rId8"/>
    <sheet name="Instrucciones (2)" sheetId="5" state="visible" r:id="rId9"/>
    <sheet name="Formato" sheetId="6" state="visible" r:id="rId10"/>
  </sheets>
  <definedNames>
    <definedName name="Dirección_Administrativa_Y_Financiera" localSheetId="3">f!$BD$84</definedName>
    <definedName name="Aprendiz" localSheetId="4">TBL_Aprendiz[Aprendiz]</definedName>
    <definedName name="Rol" localSheetId="4">TBL_Rol[Rol]</definedName>
    <definedName name="Sedes" localSheetId="4">TBL_Sedes[Ciudad Nombre de la sede]</definedName>
    <definedName name="Tipo_De_Contrato" localSheetId="4">Tabla2[Tipo De Contrato]</definedName>
    <definedName name="Tipo_De_Solicitud" localSheetId="4">TBL_Tipo_De_Solicitud[Tipo de solicitud]</definedName>
    <definedName name="Usuario_Externo" localSheetId="4">TBL_Usuario_Externo[Usuario Externo]</definedName>
    <definedName name="Aprendiz">TBL_Aprendiz[Aprendiz]</definedName>
    <definedName name="Area_Rural_A__7_Kms_De_La_Sede_Principal._Vereda_Aguadas">#REF!</definedName>
    <definedName name="Aseador_G01">#REF!</definedName>
    <definedName name="Aseador_G03">#REF!</definedName>
    <definedName name="Aseador_G04">#REF!</definedName>
    <definedName name="Aseador_G05">#REF!</definedName>
    <definedName name="Aseador_G06">#REF!</definedName>
    <definedName name="Aseador_G07">#REF!</definedName>
    <definedName name="Aseador_G08">#REF!</definedName>
    <definedName name="Aseador_G09">#REF!</definedName>
    <definedName name="Aseador_G10">#REF!</definedName>
    <definedName name="Asesor_G01">#REF!</definedName>
    <definedName name="Asesor_G02">#REF!</definedName>
    <definedName name="Asesor_G03">#REF!</definedName>
    <definedName name="Asesor_G04">#REF!</definedName>
    <definedName name="Asesor_G05">#REF!</definedName>
    <definedName name="Auxiliar_De_Cocina_G10">#REF!</definedName>
    <definedName name="Auxiliar_Enfermería_G10">#REF!</definedName>
    <definedName name="Auxiliar_G01">#REF!</definedName>
    <definedName name="Auxiliar_G02">#REF!</definedName>
    <definedName name="Av._5_Calle_18_An_Zona_Industrial">#REF!</definedName>
    <definedName name="Av._Circunvalar_Junto_Al_Colegio_Las_Cayenas_Kra._15_Sur___46__500">#REF!</definedName>
    <definedName name="Av_5_Calle_13_y_14__Granja_Las_Piedras">#REF!</definedName>
    <definedName name="Ave._1Ra_Calle_20_Esquina">#REF!</definedName>
    <definedName name="Avenida_10_No._29_–_06_Barrio_Patio_Centro">#REF!</definedName>
    <definedName name="Avenida_15_No._6___176_Barrio_San_José">#REF!</definedName>
    <definedName name="Avenida_15_No._6___176_Barrio_San_José46">#REF!</definedName>
    <definedName name="Avenida_15_No_5__62_Barrio_San_José._Mitú___Vaupés">#REF!</definedName>
    <definedName name="Avenida_30_No_17B_25_Sur">#REF!</definedName>
    <definedName name="Avenida_30_No_17B_25_Sur20">#REF!</definedName>
    <definedName name="Avenida_30_No_17B_25_Sur21">#REF!</definedName>
    <definedName name="Avenida_30_No_17B_25_Sur22">#REF!</definedName>
    <definedName name="Avenida_Canal_Bogotá___1N_30_Barrio_Pescadero___Cúcuta">#REF!</definedName>
    <definedName name="Avenida_Carracas_No_13_88">#REF!</definedName>
    <definedName name="Avenida_Centenario_42N_02">#REF!</definedName>
    <definedName name="Avenida_Circunvalar_Calle_24_Y_27">#REF!</definedName>
    <definedName name="Avenida_Circunvalar_Calle_24_Y_2718">#REF!</definedName>
    <definedName name="Avenida_Ferrocarril__27_97">#REF!</definedName>
    <definedName name="Avenida_Francisco_Newball">#REF!</definedName>
    <definedName name="Avenida_Francisco_Newball38">#REF!</definedName>
    <definedName name="Avenida_Paralela_Calle_55_Colegio_Inem_–_Bloque_C__Parte_De_Abajo.">#REF!</definedName>
    <definedName name="Avenida_Pedro_De_Heredia__Sector_Tesca">#REF!</definedName>
    <definedName name="Avenida_Providencia_1A___48_Edificio_Leda_Locales_201__202__203">#REF!</definedName>
    <definedName name="Avenida_Simón_Bolivar_Kilómetro_5">#REF!</definedName>
    <definedName name="Barrio_El_Senado.">#REF!</definedName>
    <definedName name="Barrio_La_Capilla___La_Unión_Nariño">#REF!</definedName>
    <definedName name="Barrio_Puerto_Espejo__Manzana___11">#REF!</definedName>
    <definedName name="Buenos_Aires">#REF!</definedName>
    <definedName name="Calle_1___1_130_Matevenado">#REF!</definedName>
    <definedName name="Calle_10___3_10">#REF!</definedName>
    <definedName name="Calle_10_No._1_21_Barrio_Chagualito">#REF!</definedName>
    <definedName name="Calle_11_Nº_11___109">#REF!</definedName>
    <definedName name="Calle_11_Nro._12_42">#REF!</definedName>
    <definedName name="Calle_12_No._10_–_60_Centro">#REF!</definedName>
    <definedName name="Calle_12_No._10_40_Barrio_El_Tamaco">#REF!</definedName>
    <definedName name="Calle_13__Barrio_El_Jardín____Vía_Al_Aeropuerto">#REF!</definedName>
    <definedName name="Calle_14_No._9A___45_Norte">#REF!</definedName>
    <definedName name="Calle_15__37_97">#REF!</definedName>
    <definedName name="Calle_16_N°_14_28_Centro">#REF!</definedName>
    <definedName name="Calle_16_No._14_52">#REF!</definedName>
    <definedName name="Calle_16_No._16__113__Federacion_De_Cafeteros">#REF!</definedName>
    <definedName name="Calle_16_No._27_37">#REF!</definedName>
    <definedName name="Calle_16_No._44___46_Troncal_Del_Caribe">#REF!</definedName>
    <definedName name="Calle_16N___2_2_A_2_100___Arroyohondo_Barrio_Trinidad_Etapa_1">#REF!</definedName>
    <definedName name="Calle_17_N._8ª_19">#REF!</definedName>
    <definedName name="Calle_18___44_65">#REF!</definedName>
    <definedName name="Calle_18_No._17_61">#REF!</definedName>
    <definedName name="Calle_19__12_29">#REF!</definedName>
    <definedName name="Calle_19_A_No._96_C_32">#REF!</definedName>
    <definedName name="Calle_19_No._12___29">#REF!</definedName>
    <definedName name="Calle_19_No._13_300_Zona_Rosa_La_Ceja">#REF!</definedName>
    <definedName name="Calle_2_No._13_–_03_Barrio_San_Rafael">#REF!</definedName>
    <definedName name="Calle_2_No_5_49_Barrio_La_Padilla">#REF!</definedName>
    <definedName name="Calle_20_Con_Carrera_13_Junto_Al_Hospital_Ruben_Cruz_Velez">#REF!</definedName>
    <definedName name="Calle_20_No._5_21_Piso_2">#REF!</definedName>
    <definedName name="Calle_21_Avenida_Aeropuerto_Esquina">#REF!</definedName>
    <definedName name="Calle_21_Avenida_Aeropuerto_Esquina27">#REF!</definedName>
    <definedName name="Calle_21_Avenida_Aeropuerto_Esquina28">#REF!</definedName>
    <definedName name="Calle_22_No._11_Este_05._Vía_A_Oriente">#REF!</definedName>
    <definedName name="Calle_22_No._11_Este_05._Vía_A_Oriente32">#REF!</definedName>
    <definedName name="Calle_22_No._9___82_La_Industria">#REF!</definedName>
    <definedName name="Calle_23_Norte_No._2N___38._Ubicación_Temporal__Carrera_19_No._9E___44">#REF!</definedName>
    <definedName name="Calle_24_No._19_17_Barrio_Córdoba">#REF!</definedName>
    <definedName name="Calle_25___17_26_Barrio_Las_Delicias">#REF!</definedName>
    <definedName name="Calle_25___19C_20">#REF!</definedName>
    <definedName name="Calle_25_No_2_31_Antigua_Sede_Zimara_Entrada_Principal_A_Montelíbano">#REF!</definedName>
    <definedName name="Calle_25B___31___260_Boston">#REF!</definedName>
    <definedName name="Calle_25B_No_31_–_260_Barrio_Boston">#REF!</definedName>
    <definedName name="Calle_27_Con_Carrera_13A">#REF!</definedName>
    <definedName name="Calle_28___23_18_Barrio_Montes">#REF!</definedName>
    <definedName name="Calle_28A_No._14___47_Barrio_Bostón">#REF!</definedName>
    <definedName name="Calle_29___13_–_127_Barrio_Bavaria">#REF!</definedName>
    <definedName name="Calle_2B_No.16_26.">#REF!</definedName>
    <definedName name="Calle_2B_Oeste_No._90_27">#REF!</definedName>
    <definedName name="Calle_2B_Oeste_No._90_2729">#REF!</definedName>
    <definedName name="Calle_2B_Oeste_No._90_2741">#REF!</definedName>
    <definedName name="Calle_2N__Avenidas_4Y5_Pescadero">#REF!</definedName>
    <definedName name="Calle_2N__Avenidas_4Y5_Pescadero33">#REF!</definedName>
    <definedName name="Calle_2N__Avenidas_4Y5_Pescadero34">#REF!</definedName>
    <definedName name="Calle_2N_Con_Avenida_3_Y_4_–_Barrio_Pescadero">#REF!</definedName>
    <definedName name="Calle_3__3_32_Centro_Tecnologico">#REF!</definedName>
    <definedName name="Calle_3__9_38_Edificio_Centro_Dia">#REF!</definedName>
    <definedName name="Calle_3_Carrera_4A_Esquina_Antiguo_Hotel_Chimila_Fundación">#REF!</definedName>
    <definedName name="Calle_3_No._15___08">#REF!</definedName>
    <definedName name="Calle_3_No._2_22">#REF!</definedName>
    <definedName name="Calle_3_No._6_48_Barrio_Comuneros">#REF!</definedName>
    <definedName name="Calle_3_No._9_34">#REF!</definedName>
    <definedName name="Calle_30__3E_164">#REF!</definedName>
    <definedName name="Calle_30__3E_1648">#REF!</definedName>
    <definedName name="Calle_31___44A___50">#REF!</definedName>
    <definedName name="Calle_31A___46__13">#REF!</definedName>
    <definedName name="Calle_33___33_139_Hospital_Barranquilla">#REF!</definedName>
    <definedName name="Calle_34_Carrera_16_Las_Américas">#REF!</definedName>
    <definedName name="Calle_34_No._17_B_23">#REF!</definedName>
    <definedName name="Calle_39_con_Carrera_5">#REF!</definedName>
    <definedName name="Calle_4___2_67">#REF!</definedName>
    <definedName name="Calle_4___2_80">#REF!</definedName>
    <definedName name="Calle_4___8___25">#REF!</definedName>
    <definedName name="Calle_4_No._15_53___Carrera_15_Entre_Calles_3_Y_4">#REF!</definedName>
    <definedName name="Calle_4_No._20_33_Barrio_Camilo_Torres.">#REF!</definedName>
    <definedName name="Calle_4_No._32_80">#REF!</definedName>
    <definedName name="Calle_4_No_2_85">#REF!</definedName>
    <definedName name="Calle_40_No._1_15_Barrio_Cándido_Leguizamón">#REF!</definedName>
    <definedName name="Calle_41___55_80_Oficina_119_Centro_Comercial_Plaza_Mayor">#REF!</definedName>
    <definedName name="Calle_41_Carrera_1ª.">#REF!</definedName>
    <definedName name="Calle_43_No._20_137_Barrio_La_Malena">#REF!</definedName>
    <definedName name="Calle_45_No._11___52_Antiguo_Hospital_San_Juan_De_Dios">#REF!</definedName>
    <definedName name="Calle_48___28_40">#REF!</definedName>
    <definedName name="Calle_48_N°_28_01">#REF!</definedName>
    <definedName name="Calle_4N___10_35">#REF!</definedName>
    <definedName name="Calle_5___26_00">#REF!</definedName>
    <definedName name="Calle_51___57_70">#REF!</definedName>
    <definedName name="Calle_51___57_702">#REF!</definedName>
    <definedName name="Calle_51___57_703">#REF!</definedName>
    <definedName name="Calle_51___57_704">#REF!</definedName>
    <definedName name="Calle_52_No._2_Bis_15">#REF!</definedName>
    <definedName name="Calle_52_No._2_Bis_1542">#REF!</definedName>
    <definedName name="Calle_52_No._2_Bis_1543">#REF!</definedName>
    <definedName name="Calle_52_No._2_Bis_1544">#REF!</definedName>
    <definedName name="Calle_52_No._2_Bis_1545">#REF!</definedName>
    <definedName name="Calle_52_No_13_65">#REF!</definedName>
    <definedName name="Calle_54_No._10___39">#REF!</definedName>
    <definedName name="Calle_58__29_57">#REF!</definedName>
    <definedName name="Calle_64_Aa_No._113A_04">#REF!</definedName>
    <definedName name="Calle_66_No._8___25">#REF!</definedName>
    <definedName name="Calle_69_Nº14_30">#REF!</definedName>
    <definedName name="Calle_7B_entre_55_y_56_Villa_Olímpica___Galapa">#REF!</definedName>
    <definedName name="Calle_8___4_55">#REF!</definedName>
    <definedName name="Calle_8_No._2_Este_Par___Avenida_Las_Cuadras">#REF!</definedName>
    <definedName name="Calle_8_No._2_Este_Par_Av._Las_Cuadras">#REF!</definedName>
    <definedName name="Calle_8_No._6__54_Entrada_3_Zona_Industrial_Cazuca_Entrada_Parqueadero">#REF!</definedName>
    <definedName name="Calle_9__19_120">#REF!</definedName>
    <definedName name="Calle_9_N_5_40">#REF!</definedName>
    <definedName name="Calle_91_Sur_No._01_B___10_Este">#REF!</definedName>
    <definedName name="Calle_Del_Comercio">#REF!</definedName>
    <definedName name="Calle_Del_Comercio_Muelle">#REF!</definedName>
    <definedName name="Calle_Obando_Carrera_9B_No._13_21">#REF!</definedName>
    <definedName name="Caracolí_Lote_1_A2__Con_Carrera_1_B_Antigua_Finca_Altagracia">#REF!</definedName>
    <definedName name="Carrera__45_Sur__No._141_05_Sector_Picaleña__Contiguo_A_La_Casa_De_La_Moneda">#REF!</definedName>
    <definedName name="Carrera_1_Este_No._67_110__Barrio_Capitolio">#REF!</definedName>
    <definedName name="Carrera_1_No._28_71">#REF!</definedName>
    <definedName name="Carrera_1_No._28_7116">#REF!</definedName>
    <definedName name="Carrera_1_No._28_7117">#REF!</definedName>
    <definedName name="Carrera_10___30_05_Barrio_la_Magdalena">#REF!</definedName>
    <definedName name="Carrera_10___7E_110_Antiguo_Coliseo_Del_Sur">#REF!</definedName>
    <definedName name="Carrera_10_Calle_12_Esquina">#REF!</definedName>
    <definedName name="Carrera_10_No_11_22">#REF!</definedName>
    <definedName name="Carrera_11_No._13_13_Barrio_Ricaute">#REF!</definedName>
    <definedName name="Carrera_11_No._6_31">#REF!</definedName>
    <definedName name="Carrera_12__55_A_–_51">#REF!</definedName>
    <definedName name="Carrera_12__55_A_–_5110">#REF!</definedName>
    <definedName name="Carrera_13_No._42_19">#REF!</definedName>
    <definedName name="Carrera_13_No_65_10">#REF!</definedName>
    <definedName name="Carrera_13_No_65_1019">#REF!</definedName>
    <definedName name="Carrera_14__No_5B_–_56_Barrio_Juan_Xxiii__Tel.___57__8__437_4791">#REF!</definedName>
    <definedName name="Carrera_14A_No._20_04">#REF!</definedName>
    <definedName name="Carrera_15_N°_19_26">#REF!</definedName>
    <definedName name="Carrera_16A__19_28">#REF!</definedName>
    <definedName name="Carrera_17_N°_35_46">#REF!</definedName>
    <definedName name="Carrera_18_B_No._62___28_Sur">#REF!</definedName>
    <definedName name="Carrera_18_No._7_58">#REF!</definedName>
    <definedName name="Carrera_18_No_2A_18_Sur">#REF!</definedName>
    <definedName name="Carrera_19_Entre_Calles_14_Y_15">#REF!</definedName>
    <definedName name="Carrera_19_Entre_Calles_14_Y_1515">#REF!</definedName>
    <definedName name="Carrera_19_No._36_68">#REF!</definedName>
    <definedName name="Carrera_19_No._36_6814">#REF!</definedName>
    <definedName name="Carrera_20_N°_36_63">#REF!</definedName>
    <definedName name="Carrera_20_No.28_163">#REF!</definedName>
    <definedName name="Carrera_20_No.28_1637">#REF!</definedName>
    <definedName name="Carrera_21_No._19_–_34_Parque_Educativo_Renacer">#REF!</definedName>
    <definedName name="Carrera_21B__Calle_40B_Esquina_Barrio_San_José">#REF!</definedName>
    <definedName name="Carrera_23__25_32_Ed._Esponsión_Piso_3">#REF!</definedName>
    <definedName name="Carrera_24_No._6ª_–_24">#REF!</definedName>
    <definedName name="Carrera_25___24_47">#REF!</definedName>
    <definedName name="Carrera_25_No._20_65_Oficina_2012">#REF!</definedName>
    <definedName name="Carrera_25_No._55B__150_Colegio_Inem_–_Bloque_C_Parte_De_Abajo.">#REF!</definedName>
    <definedName name="Carrera_26___34_40_Barrio_Salesiano">#REF!</definedName>
    <definedName name="Carrera_26_No._26_11_Barrio_San_Jose">#REF!</definedName>
    <definedName name="Carrera_27_N°_20_45">#REF!</definedName>
    <definedName name="Carrera_27_No._19_–_40_Barrio_San_Alonso">#REF!</definedName>
    <definedName name="Carrera_27_No._42___68">#REF!</definedName>
    <definedName name="Carrera_28___56___10_Barrio_Galan">#REF!</definedName>
    <definedName name="Carrera_29_No._25_27">#REF!</definedName>
    <definedName name="Carrera_30_No_40___25">#REF!</definedName>
    <definedName name="Carrera_31_No_14_20">#REF!</definedName>
    <definedName name="Carrera_31_No_14_2023">#REF!</definedName>
    <definedName name="Carrera_31_No_14_2024">#REF!</definedName>
    <definedName name="Carrera_31_No_14_2025">#REF!</definedName>
    <definedName name="Carrera_32_No._14___25">#REF!</definedName>
    <definedName name="Carrera_39_Calle_50_Diagonal_A_La_Aduana">#REF!</definedName>
    <definedName name="Carrera_3A_No_16__02">#REF!</definedName>
    <definedName name="Carrera_4__14A_06_La_Legua">#REF!</definedName>
    <definedName name="Carrera_4_No._3_40">#REF!</definedName>
    <definedName name="Carrera_4_No_3_12">#REF!</definedName>
    <definedName name="Carrera_42_A___29___292_Parque_Educativo_El_Canton">#REF!</definedName>
    <definedName name="Carrera_43__42_40_Piso_10">#REF!</definedName>
    <definedName name="Carrera_43__42_40_Piso_11">#REF!</definedName>
    <definedName name="Carrera_46_No._56_11_Pisos_6_Y_7__Torre_Argos">#REF!</definedName>
    <definedName name="Carrera_5__No._4_18_Centro">#REF!</definedName>
    <definedName name="Carrera_5_No._11___58__Pisos_2_Al_8">#REF!</definedName>
    <definedName name="Carrera_5_No_16_16">#REF!</definedName>
    <definedName name="Carrera_5_No_16_1630">#REF!</definedName>
    <definedName name="Carrera_5_Vía_Salida_A_La_Dorada">#REF!</definedName>
    <definedName name="Carrera_54___49___09_Colegio_Esther_De_Pelaez__Al_Lado_De_La_Casadel_Carnaval">#REF!</definedName>
    <definedName name="Carrera_54___68_80">#REF!</definedName>
    <definedName name="CARRERA_6___60B_110">#REF!</definedName>
    <definedName name="Carrera_6__Avenida_Centenario_44_N___15">#REF!</definedName>
    <definedName name="Carrera_6_N°_44N___15">#REF!</definedName>
    <definedName name="Carrera_6_No._15_11_Barrio_Cuervo_Araoz">#REF!</definedName>
    <definedName name="Carrera_6_No._45___52">#REF!</definedName>
    <definedName name="Carrera_6_No_8__47">#REF!</definedName>
    <definedName name="Carrera_7___5_67">#REF!</definedName>
    <definedName name="Carrera_7_No._24A_48._Ipiales___Nariño">#REF!</definedName>
    <definedName name="Carrera_7_No._34___56">#REF!</definedName>
    <definedName name="Carrera_8___20_A_–_00_Diócesis_De_Ismina">#REF!</definedName>
    <definedName name="Carrera_8_No._23_117">#REF!</definedName>
    <definedName name="Carrera_8_No._6_13">#REF!</definedName>
    <definedName name="Carrera_8_No._7___06">#REF!</definedName>
    <definedName name="Carrera_8_No._7_53">#REF!</definedName>
    <definedName name="Carrera_81A___58J___45_Sur">#REF!</definedName>
    <definedName name="Carrera_89A_No._64C___33">#REF!</definedName>
    <definedName name="Carrera_8A_No14_64">#REF!</definedName>
    <definedName name="Carrera_9___3___28__La_Primavera_Vichada">#REF!</definedName>
    <definedName name="Carrera_9_No._12__141">#REF!</definedName>
    <definedName name="Carrera_9_No._127_109">#REF!</definedName>
    <definedName name="Carrera_9_No._28_34">#REF!</definedName>
    <definedName name="Carrera_9G_No_110_187_Lote_10_y_11_Caribe_Verde">#REF!</definedName>
    <definedName name="Carrera_9N__71N_60_Alto_Del_Cauca">#REF!</definedName>
    <definedName name="Carrera_9N__71N_60_Sede_Alto_Cauca">#REF!</definedName>
    <definedName name="Carretera_Central_A_Tulúa_Kilómetro_2">#REF!</definedName>
    <definedName name="Carretera_Central_Variante_Buga___Tulúa">#REF!</definedName>
    <definedName name="Carretera_Cordialidad_Cra_46__9_61_Local_2___Parador_Turístico_de_Luruaco_frente_a_Laguna_de_Luruaco">#REF!</definedName>
    <definedName name="Centro_Agroempresarial_Y_Minero">#REF!</definedName>
    <definedName name="Centro_Comercial_Viva_Buenaventura__Éxito_Local_001B_Primer_Piso_Calle_2_No.66_86_Kilómetro_11_Avenida_Simón_Bolívar">#REF!</definedName>
    <definedName name="Centro_De_Comercio">#REF!</definedName>
    <definedName name="Centro_De_Comercio_Y_Servicios">#REF!</definedName>
    <definedName name="Centro_De_Comercio_Y_Servicios2">#REF!</definedName>
    <definedName name="Centro_De_Formación_En_Diseño__Confección_Y_Moda___Complejo_Sur">#REF!</definedName>
    <definedName name="Centro_De_Formación_Minero_Ambiental__El_Bagre">#REF!</definedName>
    <definedName name="Centro_De_Gestión_Y_Desarrollo_Agroindustrial_De_Arauca">#REF!</definedName>
    <definedName name="Centro_De_La_Innovación__La_Agroindustria_Y_La_Aviación">#REF!</definedName>
    <definedName name="Centro_De_La_Innovación__La_Agroindustria_Y_La_Aviación_Sede_Guarne">#REF!</definedName>
    <definedName name="Centro_De_Los_Recursos_Naturales_Renovables___La_Salada">#REF!</definedName>
    <definedName name="Centro_De_Servicios_De_Salud">#REF!</definedName>
    <definedName name="Centro_De_Servicios_Y_Gestión_Empresarial">#REF!</definedName>
    <definedName name="Centro_De_Tecnología_De_La_Manufactura_Avanzada___Complejo_Pedregal">#REF!</definedName>
    <definedName name="Centro_Del_Diseño_Y_Manufactura_De_Cuero___Complejo_Sur">#REF!</definedName>
    <definedName name="Centro_Industrial_Y_De_Aviación">#REF!</definedName>
    <definedName name="Centro_Internacional_Náutico__Fluvial_Y_Portuario">#REF!</definedName>
    <definedName name="Centro_Nacional_Colombo_Alemán">#REF!</definedName>
    <definedName name="Centro_Para_El_Desarrollo_Agroecológico_Y_Agroindustrial">#REF!</definedName>
    <definedName name="Centro_Para_El_Desarrollo_Del_Hábitat_Y_La_Construcción">#REF!</definedName>
    <definedName name="Centro_Para_La_Biodiversidad_Y_El_Turismo_Del_Amazonas">#REF!</definedName>
    <definedName name="Centro_Para_La_Industria_Petroquímica">#REF!</definedName>
    <definedName name="Centro_Tecnológico_Del_Mobiliario___Complejo_Sur">#REF!</definedName>
    <definedName name="Centro_Textil_Y_De_Gestión_Industrial">#REF!</definedName>
    <definedName name="Ciudadela_Industrial__Espacio_Del_Sena">#REF!</definedName>
    <definedName name="Cl._36__25_68_Barrio_Salesiano">#REF!</definedName>
    <definedName name="Cl._9__19_120">#REF!</definedName>
    <definedName name="Cl.63__58B_03__Itagüí_Calatrava">#REF!</definedName>
    <definedName name="Cl.63__58B_03__Itagüí_Calatrava5">#REF!</definedName>
    <definedName name="Cl__7___2B___27_31">#REF!</definedName>
    <definedName name="Cl_16___23_37___11_12">#REF!</definedName>
    <definedName name="Cl_45___11_12">#REF!</definedName>
    <definedName name="Cll._47_No._43_48">#REF!</definedName>
    <definedName name="Clle_13_No._10__60">#REF!</definedName>
    <definedName name="Colegio_Diocesano_Nuestra_Señora_Del_Carmen__Sector_Los_Álamos">#REF!</definedName>
    <definedName name="Colegio_Manuel_Elkin_Patarroyo_Comuna_9_Barrio_Cesar_Augusto_Lopez_Calle_73Bis_Con_Carrera_21">#REF!</definedName>
    <definedName name="Complejo_Tecnológico__Turístico_Y_Agroindustrial_Del_Occidente_Antioqueño">#REF!</definedName>
    <definedName name="Complejo_Tecnológico_Agroindustrial__Pecuario_Y_Turístico">#REF!</definedName>
    <definedName name="Complejo_Tecnológico_Minero_Agroempresarial">#REF!</definedName>
    <definedName name="Complejo_Tecnológico_Para_La_Gestión_Agroempresarial">#REF!</definedName>
    <definedName name="Conductor_G07">#REF!</definedName>
    <definedName name="Conductor_G08">#REF!</definedName>
    <definedName name="Conductor_G09">#REF!</definedName>
    <definedName name="Conductor_G10">#REF!</definedName>
    <definedName name="Contratista">Listas!$C$2</definedName>
    <definedName name="Contratista⠀⠀">Listas!#REF!</definedName>
    <definedName name="Contrato_de_Aprendizaje⠀">Listas!#REF!</definedName>
    <definedName name="Contrato⠀de⠀Aprendizaje">Listas!#REF!</definedName>
    <definedName name="Cr_17_No.__39_A_30">#REF!</definedName>
    <definedName name="Cra._12__20_65">#REF!</definedName>
    <definedName name="Cra._14Bis_No._19_60_Parque_Olaya_Herrera">#REF!</definedName>
    <definedName name="Cra._24_7_10">#REF!</definedName>
    <definedName name="Cra__17___8__23_De_La_Ciudad_De_Popayán">#REF!</definedName>
    <definedName name="Cra_10_Nº_15_–_71_Barrio_La_Primavera">#REF!</definedName>
    <definedName name="Cra_10_Nº_15_–_71_Barrio_La_Primavera47">#REF!</definedName>
    <definedName name="Cra_13_No._13_17_Edificio_Colón_Piso_12_Ofi._1201">#REF!</definedName>
    <definedName name="Cra_14___5B_60_Barrio_Juan_Xxiii">#REF!</definedName>
    <definedName name="Cra_18___20_34_Centro">#REF!</definedName>
    <definedName name="Cra_20___9E_39_Barrio_Bretaña">#REF!</definedName>
    <definedName name="Cra_23_A_No_25_06__B._20_De_Julio">#REF!</definedName>
    <definedName name="Cra_23_A_No_25_06__B._20_De_Julio35">#REF!</definedName>
    <definedName name="Cra_24_Calle_48___Soledad">#REF!</definedName>
    <definedName name="Cra_27___42_68">#REF!</definedName>
    <definedName name="CRA_3_NORTE_CON_CALLE_54">#REF!</definedName>
    <definedName name="Cra_33A_15_33">#REF!</definedName>
    <definedName name="Cra_39_No.__72_025_Manrique">#REF!</definedName>
    <definedName name="Cra_4___53_54__Autopisata_Sur_Soacha___Cl_8___6_54_Entrada_3_Zona_Industrial_Cazuca__Parqueadero">#REF!</definedName>
    <definedName name="Cra_48___49_62_Casa_De_La_Constitución">#REF!</definedName>
    <definedName name="Cra_51__51_28">#REF!</definedName>
    <definedName name="CRA_51__No._49_27">#REF!</definedName>
    <definedName name="Cra_51_No._51_28">#REF!</definedName>
    <definedName name="Cra_6___8_35">#REF!</definedName>
    <definedName name="Cra_7___15___289">#REF!</definedName>
    <definedName name="Cra_8ª_26_79">#REF!</definedName>
    <definedName name="Cra_8ª_26_7936">#REF!</definedName>
    <definedName name="Cra_8ª_26_7937">#REF!</definedName>
    <definedName name="Dependencias">#REF!</definedName>
    <definedName name="Despacho_Dirección">#REF!</definedName>
    <definedName name="Diag.104__69_120_El_Pedregal">#REF!</definedName>
    <definedName name="Diag.104__69_120_El_Pedregal6">#REF!</definedName>
    <definedName name="Diaginal_25_Sur___22_60_Barrio_Ciudadela_Nuevo_Giron">#REF!</definedName>
    <definedName name="Diagonal_18_A_Entre_Calle_30_Y_31__Barrio_Fundadores___Sabanas_Del_Valle">#REF!</definedName>
    <definedName name="Diagonal_20_No._38_16___Barrio_Guaduales">#REF!</definedName>
    <definedName name="Diagonal_39_A_Bis_No.14_–_76_Teusaquillo">#REF!</definedName>
    <definedName name="Diagonal_4_Transversal_6_Esquina">#REF!</definedName>
    <definedName name="Diagonal_45D_No._19_–_72">#REF!</definedName>
    <definedName name="Dirección_Administrativa_y_Financiera">#REF!</definedName>
    <definedName name="Dirección_Administrativa_Y_FinancieraSindesena">#REF!</definedName>
    <definedName name="Dirección_de_Empleo_y_Trabajo">#REF!</definedName>
    <definedName name="Dirección_de_Formación_Profesional">#REF!</definedName>
    <definedName name="Dirección_de_Planeación_y_Dirección_Corporativo">#REF!</definedName>
    <definedName name="Dirección_de_Promoción_y_Relaciones_Corporativas">#REF!</definedName>
    <definedName name="Dirección_del_Sistema_Nacional_de_Formación_para_el_Trabajo">#REF!</definedName>
    <definedName name="Dirección_General">f!$V$84:$V$86</definedName>
    <definedName name="Dirección_GeneralDirección_General">#REF!</definedName>
    <definedName name="Dirección_GeneralEscuela_De_Instructores">#REF!</definedName>
    <definedName name="Dirección_GeneralSede_Colon___Sintrasena">#REF!</definedName>
    <definedName name="Dirección_GeneralSede_ColonSintrasena">#REF!</definedName>
    <definedName name="Dirección_Jurídica">#REF!</definedName>
    <definedName name="Director_De_Área_G10">#REF!</definedName>
    <definedName name="Director_General_G11">#REF!</definedName>
    <definedName name="Director_Regional__A_G08">#REF!</definedName>
    <definedName name="Director_Regional__B_G07">#REF!</definedName>
    <definedName name="Director_Regional__C_G04">#REF!</definedName>
    <definedName name="Director_Regional__C_G05">#REF!</definedName>
    <definedName name="Ecoturismo">#REF!</definedName>
    <definedName name="Escuela_De_Gastronomía">#REF!</definedName>
    <definedName name="Finca_El_Caney">#REF!</definedName>
    <definedName name="Finca_Ventaquemada_Vereda_Calichal">#REF!</definedName>
    <definedName name="Giron_Kl_7_Via_Rincon_De_Giron">#REF!</definedName>
    <definedName name="Granja_El_Alcaraván_Arauquita">#REF!</definedName>
    <definedName name="Hangar_Caribe_Verde">#REF!</definedName>
    <definedName name="Hub_De_Innovación_Medellín">#REF!</definedName>
    <definedName name="Instructor_G01">#REF!</definedName>
    <definedName name="Instructor_G02">#REF!</definedName>
    <definedName name="Instructor_G03">#REF!</definedName>
    <definedName name="Instructor_G04">#REF!</definedName>
    <definedName name="Instructor_G05">#REF!</definedName>
    <definedName name="Instructor_G06">#REF!</definedName>
    <definedName name="Instructor_G07">#REF!</definedName>
    <definedName name="Instructor_G08">#REF!</definedName>
    <definedName name="Instructor_G09">#REF!</definedName>
    <definedName name="Instructor_G10">#REF!</definedName>
    <definedName name="Instructor_G11">#REF!</definedName>
    <definedName name="Instructor_G12">#REF!</definedName>
    <definedName name="Instructor_G13">#REF!</definedName>
    <definedName name="Instructor_G14">#REF!</definedName>
    <definedName name="Instructor_G15">#REF!</definedName>
    <definedName name="Instructor_G16">#REF!</definedName>
    <definedName name="Instructor_G17">#REF!</definedName>
    <definedName name="Instructor_G18">#REF!</definedName>
    <definedName name="Instructor_G19">#REF!</definedName>
    <definedName name="Instructor_G20">#REF!</definedName>
    <definedName name="Jefe_De_Oficina_G06">#REF!</definedName>
    <definedName name="K6_Autopista_A_Floridablanca_N_55_33">#REF!</definedName>
    <definedName name="Kilómetro_1_Antes_Del_Arco_De_La_Entrada_A_Puerto_Gaitán_A_La_Derecha">#REF!</definedName>
    <definedName name="Kilometro_1_Salida_Turbo">#REF!</definedName>
    <definedName name="Kilómetro_1_Vía_Duitama___Pantano_De_Vargas">#REF!</definedName>
    <definedName name="Kilómetro_10_Vía_Al_Magdalena">#REF!</definedName>
    <definedName name="Kilómetro_10_Vía_Al_Magdalena_Calle_109___26_471">#REF!</definedName>
    <definedName name="Kilómetro_10_Vía_Al_Magdalena11">#REF!</definedName>
    <definedName name="Kilómetro_10_Vía_Al_Magdalena12">#REF!</definedName>
    <definedName name="Kilómetro_10_Vía_Al_Magdalena13">#REF!</definedName>
    <definedName name="Kilómetro_2_Vía_Cajica_–__Tabio._Politécnico_Gran_Sabana">#REF!</definedName>
    <definedName name="Kilómetro_2_Vía_Tocancipa_–__Zipaquira__Autódromo_._Parque_Gran_Sabana">#REF!</definedName>
    <definedName name="Kilómetro_26_J_–_Diagonal_72_Farol__El_Laguito._Cali___Valle">#REF!</definedName>
    <definedName name="Kilometro_3_Via_Melgar___Carmen_De_Apicala_Sector_Valle_De_Cauca_De_Los_Lanceros">#REF!</definedName>
    <definedName name="Kilometro_5_Salida_A_Maicao">#REF!</definedName>
    <definedName name="Kilometro_5_Via_Panamericana_Espinal_Ibague___Costado_Oriental">#REF!</definedName>
    <definedName name="Kilometro_5_Via_Panamericana_Espinal_Ibague___Costado_Oriental39">#REF!</definedName>
    <definedName name="Kilómetro_6_Vía_Gaira">#REF!</definedName>
    <definedName name="Kilometro_7_Vía__Pacho_San_San_Cayetano__Vereda_Llano_De_La_Hacienda">#REF!</definedName>
    <definedName name="Kilometro_7_Vía_Mosquera">#REF!</definedName>
    <definedName name="Kilómetro_7_Vía_Sampués._Sincelejo___Sucre">#REF!</definedName>
    <definedName name="Km.__11_Vía_Montería_–_Cerete_Frente_Al_Aeropuerto_Los_Garzones">#REF!</definedName>
    <definedName name="Km._2_Vía_Sibaté_La_Nueva_Colonia">#REF!</definedName>
    <definedName name="Km._35_Margen_Oriental_Carretera_La_Cordialidad_A_3_Km_De_Sabanalarga">#REF!</definedName>
    <definedName name="Km._38_Via_Al_Sur_De_Neiva">#REF!</definedName>
    <definedName name="Km._7_Vía_A_La_Paz">#REF!</definedName>
    <definedName name="Km_1_Vía_Acacias">#REF!</definedName>
    <definedName name="Km_1_Vía_Acacias31">#REF!</definedName>
    <definedName name="Km_1_Vía_Barrancas">#REF!</definedName>
    <definedName name="Km_1_Vía_Bucaramanga">#REF!</definedName>
    <definedName name="Km_1_Via_Los_Lagos">#REF!</definedName>
    <definedName name="Km_12_Via_Granada___San_Juan_De_Arama">#REF!</definedName>
    <definedName name="Km_12_Vía_Puerto_López">#REF!</definedName>
    <definedName name="Km_12_Via_Villavicencio___Puerto_Lopez">#REF!</definedName>
    <definedName name="Km_3_Vereda_Lombo___Santa_Rosa_De_Cabal">#REF!</definedName>
    <definedName name="Km_3_Vía_Aeropuerto">#REF!</definedName>
    <definedName name="Km_45_Corregimiento_Santa_Isabel_Vía_Tierralta">#REF!</definedName>
    <definedName name="Km_49_Via_Al_Mar__Veredas_Auguascalientes">#REF!</definedName>
    <definedName name="Km_5_Via_Marginal_Del_Llano">#REF!</definedName>
    <definedName name="Km_6_Vía_Caldas__La_Pintada_Antioquia">#REF!</definedName>
    <definedName name="Km10_Via_A_Morelia__Vereda_La_Muchilero">#REF!</definedName>
    <definedName name="Kra_9_No._1_35_Antigua_Planta_De_Hielo">#REF!</definedName>
    <definedName name="La_Ceja">#REF!</definedName>
    <definedName name="Lado_Escuela_Santa_Teresita_Old_Town">#REF!</definedName>
    <definedName name="Logística_Y_Transporte">#REF!</definedName>
    <definedName name="Lote_De_Terreno_No.2_La_Samaria">#REF!</definedName>
    <definedName name="Médico__Medio_Tiempo_G01">#REF!</definedName>
    <definedName name="Megasede_El_Pomar">#REF!</definedName>
    <definedName name="Municipio_De_Cumaribo___Vichada">#REF!</definedName>
    <definedName name="Municipio_El_Bagre_En_El_Sector_Conocido_Como_Los_“_Comodatos_De_Arriba”__Via_Zaragoza">#REF!</definedName>
    <definedName name="Nodo_Agroempresarial">#REF!</definedName>
    <definedName name="Nodo_Construcción_E_Infraestructura">#REF!</definedName>
    <definedName name="Nodo_de_Confecciones">#REF!</definedName>
    <definedName name="Nodo_de_diseño_y_mobiliario">#REF!</definedName>
    <definedName name="Nodo_De_Hotelería_Y_Turismo">#REF!</definedName>
    <definedName name="Nodo_De_Industrias_Creativas">#REF!</definedName>
    <definedName name="Nodo_Gastronomía_y_Bilingüismo">#REF!</definedName>
    <definedName name="Nodo_Multilingüismo">#REF!</definedName>
    <definedName name="Nodo_Operaciones_Comerciales">#REF!</definedName>
    <definedName name="Nodo_Refrigeración">#REF!</definedName>
    <definedName name="Nodo_Salud">#REF!</definedName>
    <definedName name="Nodo_Servicios_Administrativos">#REF!</definedName>
    <definedName name="Nodo_Servicios_Financieros">#REF!</definedName>
    <definedName name="Nodo_Tic_Barranquilla">#REF!</definedName>
    <definedName name="Odontólogo_Medio_Tiempo_G01">#REF!</definedName>
    <definedName name="Oficial_Mantto_Gral.G03">#REF!</definedName>
    <definedName name="Oficial_Mantto_Gral.G05">#REF!</definedName>
    <definedName name="Oficial_Mantto_Gral.G06">#REF!</definedName>
    <definedName name="Oficial_Mantto_Gral.G08">#REF!</definedName>
    <definedName name="Oficial_Mantto_Gral.G09">#REF!</definedName>
    <definedName name="Oficial_Mantto_Gral.G10">#REF!</definedName>
    <definedName name="Oficina_de_Comunicaciones">#REF!</definedName>
    <definedName name="Oficina_de_Control_Interno_de_Gestión">#REF!</definedName>
    <definedName name="Oficina_de_Control_Interno_Disciplinario">#REF!</definedName>
    <definedName name="Oficina_de_Sistemas">#REF!</definedName>
    <definedName name="Oficinista_G02">#REF!</definedName>
    <definedName name="Oficinista_G03">#REF!</definedName>
    <definedName name="Operario_Almacén_G10">#REF!</definedName>
    <definedName name="Operario_Mtto_Gral.G07">#REF!</definedName>
    <definedName name="Operario_Mtto_Gral.G09">#REF!</definedName>
    <definedName name="Operario_Mtto_Gral.G10">#REF!</definedName>
    <definedName name="Piedecuesta_Kl_2_Via_Palogordo_Vereda_Guatiguara">#REF!</definedName>
    <definedName name="Planta">Listas!$D$2:$D$88</definedName>
    <definedName name="Plaza_De_La_Aduana__Cartagena___Bolívar">#REF!</definedName>
    <definedName name="Plaza_De_La_Libertad__Palacio_Municipal">#REF!</definedName>
    <definedName name="Plaza_Principal">#REF!</definedName>
    <definedName name="Profesional_G01">#REF!</definedName>
    <definedName name="Profesional_G02">#REF!</definedName>
    <definedName name="Profesional_G03">#REF!</definedName>
    <definedName name="Profesional_G04">#REF!</definedName>
    <definedName name="Profesional_G05">#REF!</definedName>
    <definedName name="Profesional_G06">#REF!</definedName>
    <definedName name="Profesional_G07">#REF!</definedName>
    <definedName name="Profesional_G08">#REF!</definedName>
    <definedName name="Profesional_G09">#REF!</definedName>
    <definedName name="Profesional_G10">#REF!</definedName>
    <definedName name="Pueblo_Viejo_Entrada_Institución_Educativa_Junín___Al_Lado_De_Antiguo_Escuela_Santa_Terecita">#REF!</definedName>
    <definedName name="Regional_Amazonas">f!$W$84:$W$85</definedName>
    <definedName name="Regional_AmazonasCentro_Para_La_Biodiversidad_Y_El_Turismo_Del_Amazonas">#REF!</definedName>
    <definedName name="Regional_AmazonasRegional_Amazonas">#REF!</definedName>
    <definedName name="Regional_Antioquia">f!$X$84:$X$120</definedName>
    <definedName name="Regional_AntioquiaBuenos_Aires">#REF!</definedName>
    <definedName name="Regional_AntioquiaCentro_De_Comercio">#REF!</definedName>
    <definedName name="Regional_AntioquiaCentro_De_Formación_En_Diseño__Confección_Y_Moda___Complejo_Sur">#REF!</definedName>
    <definedName name="Regional_AntioquiaCentro_De_Formación_En_Diseño__Confección_Y_Moda_Complejo_Sur">#REF!</definedName>
    <definedName name="Regional_AntioquiaCentro_De_Formación_Minero_Ambiental__El_Bagre">#REF!</definedName>
    <definedName name="Regional_AntioquiaCentro_De_Formación_Minero_Ambiental_El_Bagre">#REF!</definedName>
    <definedName name="Regional_AntioquiaCentro_De_La_Innovación__La_Agroindustria_Y_La_Aviación">#REF!</definedName>
    <definedName name="Regional_AntioquiaCentro_De_La_Innovación__La_Agroindustria_Y_La_Aviación_Sede_Guarne">#REF!</definedName>
    <definedName name="Regional_AntioquiaCentro_De_Los_Recursos_Naturales_Renovables___La_Salada">#REF!</definedName>
    <definedName name="Regional_AntioquiaCentro_De_Los_Recursos_Naturales_Renovables_La_Salada">#REF!</definedName>
    <definedName name="Regional_AntioquiaCentro_De_Servicios_De_Salud">#REF!</definedName>
    <definedName name="Regional_AntioquiaCentro_De_Servicios_Y_Gestión_Empresarial">#REF!</definedName>
    <definedName name="Regional_AntioquiaCentro_De_Tecnología_De_La_Manufactura_Avanzada___Complejo_Pedregal">#REF!</definedName>
    <definedName name="Regional_AntioquiaCentro_De_Tecnología_De_La_Manufactura_Avanzada_Complejo_Pedregal">#REF!</definedName>
    <definedName name="Regional_AntioquiaCentro_Del_Diseño_Y_Manufactura_De_Cuero___Complejo_Sur">#REF!</definedName>
    <definedName name="Regional_AntioquiaCentro_Del_Diseño_Y_Manufactura_De_Cuero__Complejo_Sur">#REF!</definedName>
    <definedName name="Regional_AntioquiaCentro_Del_Diseño_Y_Manufactura_De_CueroComplejo_Sur">#REF!</definedName>
    <definedName name="Regional_AntioquiaCentro_Para_El_Desarrollo_Del_Hábitat_Y_La_Construcción">#REF!</definedName>
    <definedName name="Regional_AntioquiaCentro_Tecnológico_Del_Mobiliario___Complejo_Sur">#REF!</definedName>
    <definedName name="Regional_AntioquiaCentro_Tecnológico_Del_Mobiliario_Complejo_Sur">#REF!</definedName>
    <definedName name="Regional_AntioquiaCentro_Textil_Y_De_Gestión_Industrial">#REF!</definedName>
    <definedName name="Regional_AntioquiaComplejo_Tecnológico__Turístico_Y_Agroindustrial_Del_Occidente_Antioqueño">#REF!</definedName>
    <definedName name="Regional_AntioquiaComplejo_Tecnológico_Agroindustrial__Pecuario_Y_Turístico">#REF!</definedName>
    <definedName name="Regional_AntioquiaComplejo_Tecnológico_Minero_Agroempresarial">#REF!</definedName>
    <definedName name="Regional_AntioquiaComplejo_Tecnológico_Para_La_Gestión_Agroempresarial">#REF!</definedName>
    <definedName name="Regional_AntioquiaHub_De_Innovación_Medellín">#REF!</definedName>
    <definedName name="Regional_AntioquiaLa_Ceja">#REF!</definedName>
    <definedName name="Regional_AntioquiaMegasede_El_Pomar">#REF!</definedName>
    <definedName name="Regional_AntioquiaRegional_Antioquia">#REF!</definedName>
    <definedName name="Regional_AntioquiaSanta_Rosa_De_Osos">#REF!</definedName>
    <definedName name="Regional_AntioquiaSede_Alterna___Regional_Antioquia">#REF!</definedName>
    <definedName name="Regional_AntioquiaSede_AlternaRegional_Antioquia">#REF!</definedName>
    <definedName name="Regional_AntioquiaSede_Aviación">#REF!</definedName>
    <definedName name="Regional_AntioquiaSede_Centro_De_Formación_Minero_Ambiental">#REF!</definedName>
    <definedName name="Regional_AntioquiaSede_Cisneros">#REF!</definedName>
    <definedName name="Regional_AntioquiaSede_Cocorná">#REF!</definedName>
    <definedName name="Regional_AntioquiaSede_Gómez_Plata">#REF!</definedName>
    <definedName name="Regional_AntioquiaSede_Guarne">#REF!</definedName>
    <definedName name="Regional_AntioquiaSede_La_Inmaculada">#REF!</definedName>
    <definedName name="Regional_AntioquiaSede_Sonsón">#REF!</definedName>
    <definedName name="Regional_AntioquiaSede_Zona_Franca">#REF!</definedName>
    <definedName name="Regional_AntioquiaTecnoacademia_Hábitat_De_La_Construcción__Colegio_Loyola">#REF!</definedName>
    <definedName name="Regional_AntioquiaTecnoacademia_Hábitat_De_La_Construcción_Colegio_Loyola">#REF!</definedName>
    <definedName name="Regional_AntioquiaTecnoacademia_Marinilla">#REF!</definedName>
    <definedName name="Regional_AntioquiaTecnoparque_Colombia_Nodo_Medellín">#REF!</definedName>
    <definedName name="Regional_AntioquiaTecnoparque_Nodo_Rionegro__Escuela_Gastronómica">#REF!</definedName>
    <definedName name="Regional_AntioquiaTecnoparque_Nodo_Rionegro_Escuela_Gastronómica">#REF!</definedName>
    <definedName name="Regional_Arauca">f!$Y$84:$Y$91</definedName>
    <definedName name="Regional_AraucaCentro_De_Gestión_Y_Desarrollo_Agroindustrial_De_Arauca">#REF!</definedName>
    <definedName name="Regional_AraucaEscuela_De_Gastronomía">#REF!</definedName>
    <definedName name="Regional_AraucaGranja_El_Alcaraván_Arauquita">#REF!</definedName>
    <definedName name="Regional_AraucaRegional_Arauca">#REF!</definedName>
    <definedName name="Regional_AraucaSede_Saravena">#REF!</definedName>
    <definedName name="Regional_AraucaSede_Tame">#REF!</definedName>
    <definedName name="Regional_AraucaTecnoacademia_Arauca">#REF!</definedName>
    <definedName name="Regional_AraucaUnidad_De_Emprendimiento_Y_Agencia_Pública_De_Empleo">#REF!</definedName>
    <definedName name="Regional_Atlántico">f!$Z$84:$Z$108</definedName>
    <definedName name="Regional_AtlánticoCentro_De_Comercio_Y_Servicios">#REF!</definedName>
    <definedName name="Regional_AtlánticoCentro_Industrial_Y_De_Aviación">#REF!</definedName>
    <definedName name="Regional_AtlánticoCentro_Nacional_Colombo_Alemán">#REF!</definedName>
    <definedName name="Regional_AtlánticoCentro_Para_El_Desarrollo_Agroecológico_Y_Agroindustrial">#REF!</definedName>
    <definedName name="Regional_AtlánticoEcoturismo">#REF!</definedName>
    <definedName name="Regional_AtlánticoFinca_El_Caney">#REF!</definedName>
    <definedName name="Regional_AtlánticoHangar_Caribe_Verde">#REF!</definedName>
    <definedName name="Regional_AtlánticoLogística_Y_Transporte">#REF!</definedName>
    <definedName name="Regional_AtlánticoNodo_Agroempresarial">#REF!</definedName>
    <definedName name="Regional_AtlánticoNodo_Construcción_E_Infraestructura">#REF!</definedName>
    <definedName name="Regional_AtlánticoNodo_de_Confecciones">#REF!</definedName>
    <definedName name="Regional_AtlánticoNodo_de_diseño_y_mobiliario">#REF!</definedName>
    <definedName name="Regional_AtlánticoNodo_De_Hotelería_Y_Turismo">#REF!</definedName>
    <definedName name="Regional_AtlánticoNodo_De_Industrias_Creativas">#REF!</definedName>
    <definedName name="Regional_AtlánticoNodo_Gastronomía_y_Bilingüismo">#REF!</definedName>
    <definedName name="Regional_AtlánticoNodo_Multilingüismo">#REF!</definedName>
    <definedName name="Regional_AtlánticoNodo_Operaciones_Comerciales">#REF!</definedName>
    <definedName name="Regional_AtlánticoNodo_Refrigeración">#REF!</definedName>
    <definedName name="Regional_AtlánticoNodo_Salud">#REF!</definedName>
    <definedName name="Regional_AtlánticoNodo_Servicios_Administrativos">#REF!</definedName>
    <definedName name="Regional_AtlánticoNodo_Servicios_Financieros">#REF!</definedName>
    <definedName name="Regional_AtlánticoNodo_Tic_Barranquilla">#REF!</definedName>
    <definedName name="Regional_AtlánticoRegional_Atlántico">#REF!</definedName>
    <definedName name="Regional_AtlánticoSede_Centro_Nacional_Colombo_Alemán___Malambo">#REF!</definedName>
    <definedName name="Regional_AtlánticoSede_Centro_Nacional_Colombo_AlemánMalambo">#REF!</definedName>
    <definedName name="Regional_AtlánticoSede_Energía">#REF!</definedName>
    <definedName name="Regional_Bolivar">f!$AA$84:$AA$93</definedName>
    <definedName name="Regional_Bolívar">#REF!</definedName>
    <definedName name="Regional_BolivarCentro_Agroempresarial_Y_Minero">#REF!</definedName>
    <definedName name="Regional_BolivarCentro_De_Comercio_Y_Servicios">#REF!</definedName>
    <definedName name="Regional_BolivarCentro_Internacional_Náutico__Fluvial_Y_Portuario">#REF!</definedName>
    <definedName name="Regional_BolivarCentro_Para_La_Industria_Petroquímica">#REF!</definedName>
    <definedName name="Regional_BolivarRegional_Bolívar">#REF!</definedName>
    <definedName name="Regional_BolivarSede_Casa_Del_Marqués">#REF!</definedName>
    <definedName name="Regional_BolivarSede_Mompós">#REF!</definedName>
    <definedName name="Regional_BolivarSede_San_Jacinto">#REF!</definedName>
    <definedName name="Regional_BolivarSede_San_Pablo">#REF!</definedName>
    <definedName name="Regional_BolivarSubsede">#REF!</definedName>
    <definedName name="Regional_Boyacá">f!$AB$84:$AB$94</definedName>
    <definedName name="Regional_BoyacáCentro_De_Desarrollo_Agropecuario_Y_Agroindustrial">#REF!</definedName>
    <definedName name="Regional_BoyacáCentro_De_Gestión_Administrativa_Y_Fortalecimiento_Empresarial">#REF!</definedName>
    <definedName name="Regional_BoyacáCentro_Industrial_De_Mantenimiento_Y_Manufactura">#REF!</definedName>
    <definedName name="Regional_BoyacáCentro_Minero">#REF!</definedName>
    <definedName name="Regional_BoyacáConvento_Santa_Clara">#REF!</definedName>
    <definedName name="Regional_BoyacáEscuela_Gastronómica_De_Tunja">#REF!</definedName>
    <definedName name="Regional_BoyacáRegional_Boyacá">#REF!</definedName>
    <definedName name="Regional_BoyacáSede_Chiquinquirá">#REF!</definedName>
    <definedName name="Regional_BoyacáSede_Duitama___Ciudadela_Industrial">#REF!</definedName>
    <definedName name="Regional_BoyacáSede_DuitamaCiudadela_Industrial">#REF!</definedName>
    <definedName name="Regional_BoyacáSede_Moniquirá">#REF!</definedName>
    <definedName name="Regional_BoyacáServicio_Público_Empleo_Tunja">#REF!</definedName>
    <definedName name="Regional_Caldas">f!$AC$84:$AC$94</definedName>
    <definedName name="Regional_CaldasCentro_De_Automatización_Industrial">#REF!</definedName>
    <definedName name="Regional_CaldasCentro_De_Comercio_Y_Servicios">#REF!</definedName>
    <definedName name="Regional_CaldasCentro_De_Procesos_Industriales_Y_Construcción">#REF!</definedName>
    <definedName name="Regional_CaldasCentro_Para_La_Formación_Cafetera">#REF!</definedName>
    <definedName name="Regional_CaldasCentro_Pecuario_Y_Agroempresarial">#REF!</definedName>
    <definedName name="Regional_CaldasRegional_Caldas">#REF!</definedName>
    <definedName name="Regional_CaldasSede_Chinchiná">#REF!</definedName>
    <definedName name="Regional_CaldasSede_Puerto_Boyacá">#REF!</definedName>
    <definedName name="Regional_CaldasServicio_Medico_Asistencial">#REF!</definedName>
    <definedName name="Regional_CaldasSpe_Manizales">#REF!</definedName>
    <definedName name="Regional_CaldasTecnoacademia_Manizales">#REF!</definedName>
    <definedName name="Regional_Caqueta">f!$AD$84:$AD$88</definedName>
    <definedName name="Regional_CaquetáCentro_Tecnológico_De_La_Amazonia">#REF!</definedName>
    <definedName name="Regional_CaquetáCentro_Tecnológico_De_La_Amazonía">#REF!</definedName>
    <definedName name="Regional_CaquetáCentro_Tecnológico_De_La_Amazonia_2">#REF!</definedName>
    <definedName name="Regional_CaquetáGranja_Ceilan">#REF!</definedName>
    <definedName name="Regional_CaquetáRegional_Caquetá">#REF!</definedName>
    <definedName name="Regional_Casanare">f!$AE$84:$AE$86</definedName>
    <definedName name="Regional_CasanareCentro_Agroindustrial_Y_Fortalecimiento_Empresarial_De_Casanare">#REF!</definedName>
    <definedName name="Regional_CasanareRegional_Casanare">#REF!</definedName>
    <definedName name="Regional_CasanareSede_Paz_De_Ariporo">#REF!</definedName>
    <definedName name="Regional_Cauca">f!$AF$84:$AF$96</definedName>
    <definedName name="Regional_CaucaArchivo_Central">#REF!</definedName>
    <definedName name="Regional_CaucaCentro_Agropecuario">#REF!</definedName>
    <definedName name="Regional_CaucaCentro_De_Comercio_Y_Servicios">#REF!</definedName>
    <definedName name="Regional_CaucaCentro_De_Teleinformática_Y_Producción_Industrial">#REF!</definedName>
    <definedName name="Regional_CaucaCentro_Integrado_Para_La_Formación_Profesional_Del_Norte_Del_Cauca_–_La_Samaria">#REF!</definedName>
    <definedName name="Regional_CaucaRegional_Cauca">#REF!</definedName>
    <definedName name="Regional_CaucaSan_Jose">#REF!</definedName>
    <definedName name="Regional_CaucaSede___Santander_De_Quilichao">#REF!</definedName>
    <definedName name="Regional_CaucaSede_Guapi">#REF!</definedName>
    <definedName name="Regional_CaucaSede_INEM">#REF!</definedName>
    <definedName name="Regional_CaucaSedeSantander_De_Quilichao">#REF!</definedName>
    <definedName name="Regional_CaucaSnft">#REF!</definedName>
    <definedName name="Regional_CaucaSubsede_Valencia">#REF!</definedName>
    <definedName name="Regional_CaucaTecnoparque_Nodo_Popayán">#REF!</definedName>
    <definedName name="Regional_Cesar">f!$AG$84:$AG$96</definedName>
    <definedName name="Regional_CesarCentro_Agroempresarial">#REF!</definedName>
    <definedName name="Regional_CesarCentro_Biotecnológico_Del_Caribe">#REF!</definedName>
    <definedName name="Regional_CesarCentro_De_Operación_Y_Mantenimiento_Minero">#REF!</definedName>
    <definedName name="Regional_CesarLa_Jagua_De_Ibirico">#REF!</definedName>
    <definedName name="Regional_CesarRegional_Cesar">#REF!</definedName>
    <definedName name="Regional_CesarSede_Bosconia">#REF!</definedName>
    <definedName name="Regional_CesarSede_Centro_De_Desarrollo_Vecinal_Cdv">#REF!</definedName>
    <definedName name="Regional_CesarSede_Centro_De_Desarrollo_VecinalCdv">#REF!</definedName>
    <definedName name="Regional_CesarSede_Chimichagua">#REF!</definedName>
    <definedName name="Regional_CesarSede_Chiriguana">#REF!</definedName>
    <definedName name="Regional_CesarSede_Curumani">#REF!</definedName>
    <definedName name="Regional_CesarSede_Economía_Naranja">#REF!</definedName>
    <definedName name="Regional_CesarSede_Jagua_De_Ibirico">#REF!</definedName>
    <definedName name="Regional_CesarSede_San_Alberto">#REF!</definedName>
    <definedName name="Regional_Chocó">f!$AH$84:$AH$87</definedName>
    <definedName name="Regional_ChocóCentro_De_Formación_Centro_Minero">#REF!</definedName>
    <definedName name="Regional_ChocóCentro_De_Recursos_Naturales__Industria_Y_Biodiversidad">#REF!</definedName>
    <definedName name="Regional_ChocóIstmina">#REF!</definedName>
    <definedName name="Regional_ChocóRegional_Chocó">#REF!</definedName>
    <definedName name="Regional_Cordoba">f!$AI$84:$AI$89</definedName>
    <definedName name="Regional_CordobaCentro_Agropecuario_Y_De_Biotecnología_El_Porvenir">#REF!</definedName>
    <definedName name="Regional_CordobaCentro_De_Comercio__Industria_Y_Turismo_De_Córdoba">#REF!</definedName>
    <definedName name="Regional_CordobaRegional_Córdoba">#REF!</definedName>
    <definedName name="Regional_CordobaSan_Jorge_Montelíbano">#REF!</definedName>
    <definedName name="Regional_CordobaSede___Lorica">#REF!</definedName>
    <definedName name="Regional_CordobaSedeLorica">#REF!</definedName>
    <definedName name="Regional_CordobaTecnoparque_Montería">#REF!</definedName>
    <definedName name="Regional_Cundinamarca">f!$AJ$84:$AJ$110</definedName>
    <definedName name="Regional_CundinamarcaCentro_Agroecológico_Y_Empresarial__Quebrajacho">#REF!</definedName>
    <definedName name="Regional_CundinamarcaCentro_Agroecológico_Y_Empresarial_Quebrajacho">#REF!</definedName>
    <definedName name="Regional_CundinamarcaCentro_De_Biotecnología_Agropecuaria">#REF!</definedName>
    <definedName name="Regional_CundinamarcaCentro_De_Desarrollo_Agroempresarial">#REF!</definedName>
    <definedName name="Regional_CundinamarcaCentro_De_Desarrollo_Agroindustrial_Y_Empresarial">#REF!</definedName>
    <definedName name="Regional_CundinamarcaCentro_De_La_Tecnología_Del_Diseño_Y_La_Productividad_Empresarial">#REF!</definedName>
    <definedName name="Regional_CundinamarcaCentro_Industrial_Y_Desarrollo_Empresarial_De_Soacha">#REF!</definedName>
    <definedName name="Regional_CundinamarcaRegional_Cundinamarca">#REF!</definedName>
    <definedName name="Regional_CundinamarcaSede___Cajicá">#REF!</definedName>
    <definedName name="Regional_CundinamarcaSede___La_Calera">#REF!</definedName>
    <definedName name="Regional_CundinamarcaSede___Pacho">#REF!</definedName>
    <definedName name="Regional_CundinamarcaSede___Puerto_Salgar">#REF!</definedName>
    <definedName name="Regional_CundinamarcaSede___San_Juan_De_Rio_Seco">#REF!</definedName>
    <definedName name="Regional_CundinamarcaSede___Villapinzón">#REF!</definedName>
    <definedName name="Regional_CundinamarcaSede___Zipaquirá">#REF!</definedName>
    <definedName name="Regional_CundinamarcaSede_El_Altico">#REF!</definedName>
    <definedName name="Regional_CundinamarcaSede_Ituc">#REF!</definedName>
    <definedName name="Regional_CundinamarcaSede_Sibaté">#REF!</definedName>
    <definedName name="Regional_CundinamarcaSede_Tenjo">#REF!</definedName>
    <definedName name="Regional_CundinamarcaSede_Tocancipá">#REF!</definedName>
    <definedName name="Regional_CundinamarcaSede_Zipaquira">#REF!</definedName>
    <definedName name="Regional_CundinamarcaSedeCajicá">#REF!</definedName>
    <definedName name="Regional_CundinamarcaSedeLa_Calera">#REF!</definedName>
    <definedName name="Regional_CundinamarcaSedePacho">#REF!</definedName>
    <definedName name="Regional_CundinamarcaSedePuerto_Salgar">#REF!</definedName>
    <definedName name="Regional_CundinamarcaSedeSan_Juan_De_Rio_Seco">#REF!</definedName>
    <definedName name="Regional_CundinamarcaSedeVillapinzón">#REF!</definedName>
    <definedName name="Regional_CundinamarcaSedeZipaquirá">#REF!</definedName>
    <definedName name="Regional_CundinamarcaSubsede">#REF!</definedName>
    <definedName name="Regional_CundinamarcaSubsede_2">#REF!</definedName>
    <definedName name="Regional_CundinamarcaSubsede_3">#REF!</definedName>
    <definedName name="Regional_CundinamarcaSubsede_4">#REF!</definedName>
    <definedName name="Regional_CundinamarcaSubsede_la_Mesa">#REF!</definedName>
    <definedName name="Regional_CundinamarcaSubsede_Manuel_Humberto_Cardenas__Tulipana">#REF!</definedName>
    <definedName name="Regional_CundinamarcaSubsede_Manuel_Humberto_Cardenas_Tulipana">#REF!</definedName>
    <definedName name="Regional_CundinamarcaVilla_De_San_Diego">#REF!</definedName>
    <definedName name="Regional_Dirección_Administrativa_Y_FinancieraSindesena">#REF!</definedName>
    <definedName name="Regional_Distrito_Capital">f!$AK$84:$AK$111</definedName>
    <definedName name="Regional_Distrito_CapitalCentro_De_Diseño_Y_Metrología___Complejo_Paloquemao">#REF!</definedName>
    <definedName name="Regional_Distrito_CapitalCentro_De_Diseño_Y_MetrologíaComplejo_Paloquemao">#REF!</definedName>
    <definedName name="Regional_Distrito_CapitalCentro_De_Electricidad__Electrónica_Y_Telecomunicaciones___Complejo_Sur">#REF!</definedName>
    <definedName name="Regional_Distrito_CapitalCentro_De_Electricidad__Electrónica_Y_TelecomunicacionesComplejo_Sur">#REF!</definedName>
    <definedName name="Regional_Distrito_CapitalCentro_De_Formación_De_Talento_Humano_En_Salud">#REF!</definedName>
    <definedName name="Regional_Distrito_CapitalCentro_de_formación_en_actividad_física_y_cultura___Onassis">#REF!</definedName>
    <definedName name="Regional_Distrito_CapitalCentro_De_Formación_En_Actividad_Física_Y_Cultura_Kennedy">#REF!</definedName>
    <definedName name="Regional_Distrito_CapitalCentro_De_Formación_En_Actividad_Física_Y_CulturaKennedy">#REF!</definedName>
    <definedName name="Regional_Distrito_CapitalCentro_de_formación_en_actividad_física_y_culturaOnassis">#REF!</definedName>
    <definedName name="Regional_Distrito_CapitalCentro_De_Gestión_Administrativa">#REF!</definedName>
    <definedName name="Regional_Distrito_CapitalCentro_De_Gestión_De_Mercados__Logística_Y_Tecnologías_De_La_Información">#REF!</definedName>
    <definedName name="Regional_Distrito_CapitalCentro_De_Gestión_Industrial___Complejo_Paloquemao">#REF!</definedName>
    <definedName name="Regional_Distrito_CapitalCentro_De_Gestión_IndustrialComplejo_Paloquemao">#REF!</definedName>
    <definedName name="Regional_Distrito_CapitalCentro_De_Manufactura_En_Textil_Y_Cuero">#REF!</definedName>
    <definedName name="Regional_Distrito_CapitalCentro_De_Materiales_Y_Ensayos">#REF!</definedName>
    <definedName name="Regional_Distrito_CapitalCentro_De_Servicios_Financieros">#REF!</definedName>
    <definedName name="Regional_Distrito_CapitalCentro_De_Tecnologías_Del_Transporte">#REF!</definedName>
    <definedName name="Regional_Distrito_CapitalCentro_De_Tecnologías_Para_La_Construcción_Y_La_Madera">#REF!</definedName>
    <definedName name="Regional_Distrito_CapitalCentro_Metalmecánico">#REF!</definedName>
    <definedName name="Regional_Distrito_CapitalCentro_Nacional_De_Hotelería__Turismo_Y_Alimentos___Complejo_Paloquemao">#REF!</definedName>
    <definedName name="Regional_Distrito_CapitalCentro_Nacional_De_Hotelería__Turismo_Y_AlimentosComplejo_Paloquemao">#REF!</definedName>
    <definedName name="Regional_Distrito_CapitalCentro_Para_La_Industria_De_La_Comunicación_Gráfica___Complejo_Paloquemao">#REF!</definedName>
    <definedName name="Regional_Distrito_CapitalCentro_Para_La_Industria_De_La_Comunicación_GráficaComplejo_Paloquemao">#REF!</definedName>
    <definedName name="Regional_Distrito_CapitalColegio_De_La_Bici">#REF!</definedName>
    <definedName name="Regional_Distrito_CapitalRegional_Distrito_Capital">#REF!</definedName>
    <definedName name="Regional_Distrito_CapitalSede___Fontibón">#REF!</definedName>
    <definedName name="Regional_Distrito_CapitalSede___Meissen">#REF!</definedName>
    <definedName name="Regional_Distrito_CapitalSede___Usme">#REF!</definedName>
    <definedName name="Regional_Distrito_CapitalSede_Álamos___Plantas_Agroindustriales">#REF!</definedName>
    <definedName name="Regional_Distrito_CapitalSede_ÁlamosPlantas_Agroindustriales">#REF!</definedName>
    <definedName name="Regional_Distrito_CapitalSede_Prial">#REF!</definedName>
    <definedName name="Regional_Distrito_CapitalSede_San_Antonio">#REF!</definedName>
    <definedName name="Regional_Distrito_CapitalSedeFontibón">#REF!</definedName>
    <definedName name="Regional_Distrito_CapitalSedeMeissen">#REF!</definedName>
    <definedName name="Regional_Distrito_CapitalSedeUsme">#REF!</definedName>
    <definedName name="Regional_Distrito_CapitalServicio_Médico_Asistencial">#REF!</definedName>
    <definedName name="Regional_Distrito_CapitalSubsede_INESCO">#REF!</definedName>
    <definedName name="Regional_Distrito_CapitalTecnoparque_Colombia_Nodo_Bogotá">#REF!</definedName>
    <definedName name="Regional_Distrito_CapitalUnihorizonte__Fundación_Universitaria_Horizonte">#REF!</definedName>
    <definedName name="Regional_Distrito_CapitalUnihorizonte_Fundación_Universitaria_Horizonte">#REF!</definedName>
    <definedName name="Regional_Guainía">f!$AL$84:$AL$85</definedName>
    <definedName name="Regional_GuainíaCentro_Ambiental_Y_Ecoturístico_Del_Nororiente_Amazónico">#REF!</definedName>
    <definedName name="Regional_GuainíaRegional_Guainía">#REF!</definedName>
    <definedName name="Regional_Guajira">f!$AM$84:$AM$89</definedName>
    <definedName name="Regional_GuajiraCentro_Agroempresarial_Y_Acuícola__Área_Administrativa">#REF!</definedName>
    <definedName name="Regional_GuajiraCentro_Agroempresarial_Y_Acuícola_Área_Administrativa">#REF!</definedName>
    <definedName name="Regional_GuajiraCentro_Agroempresarial_Y_Acuícola_Sede_Fonseca">#REF!</definedName>
    <definedName name="Regional_GuajiraCentro_Industrial_Y_De_Energías_Alternativas__Área_Administrativa">#REF!</definedName>
    <definedName name="Regional_GuajiraCentro_Industrial_Y_De_Energías_Alternativas_Área_Administrativa">#REF!</definedName>
    <definedName name="Regional_GuajiraCentro_Industrial_Y_De_Energías_Alternativas_Sede_Maicao">#REF!</definedName>
    <definedName name="Regional_GuajiraRegional_Guajira">#REF!</definedName>
    <definedName name="Regional_GuajiraSede_Industrial">#REF!</definedName>
    <definedName name="Regional_Guaviare">f!$AN$84:$AN$86</definedName>
    <definedName name="Regional_GuaviareCentro_De_Desarrollo_Agroindustrial__Turístico_Y_Tecnológico_Del_Guaviare">#REF!</definedName>
    <definedName name="Regional_GuaviareCentro_De_Desarrollo_Agroindustrial__Turístico_Y_Tecnológico_Del_Guaviare_Sede_Centro">#REF!</definedName>
    <definedName name="Regional_GuaviareRegional_Guaviare">#REF!</definedName>
    <definedName name="Regional_Huila">f!$AO$84:$AO$94</definedName>
    <definedName name="Regional_HuilaCentro_Agroempresarial_Y_Desarrollo_Pecuario_Del_Huila">#REF!</definedName>
    <definedName name="Regional_HuilaCentro_De_Desarrollo_Agroempresarial_Y_Turístico_Del_Huila">#REF!</definedName>
    <definedName name="Regional_HuilaCentro_De_Formación_Agroindustrial">#REF!</definedName>
    <definedName name="Regional_HuilaCentro_De_Gestión_Y_Desarrollo_Sostenible_Surcolombiano">#REF!</definedName>
    <definedName name="Regional_HuilaCentro_De_La_Industria__La_Empresa_Y_Los_Servicios">#REF!</definedName>
    <definedName name="Regional_HuilaRegional_Huila">#REF!</definedName>
    <definedName name="Regional_HuilaSede__Provivienda">#REF!</definedName>
    <definedName name="Regional_HuilaSede_Industrial">#REF!</definedName>
    <definedName name="Regional_HuilaTecnoacademia_Neiva">#REF!</definedName>
    <definedName name="Regional_HuilaTecnoparque_Agroecológico_Yamboró.">#REF!</definedName>
    <definedName name="Regional_HuilaTecnoparque_Colombia_Nodo_Neiva">#REF!</definedName>
    <definedName name="Regional_Magdalena">f!$AP$84:$AP$92</definedName>
    <definedName name="Regional_MagdalenaBodega">#REF!</definedName>
    <definedName name="Regional_MagdalenaCentro_Acuícola_Y_Agroindustrial_De_Gaira">#REF!</definedName>
    <definedName name="Regional_MagdalenaCentro_De_Logística_Y_Promoción_Ecoturística_Del_Magdalena">#REF!</definedName>
    <definedName name="Regional_MagdalenaCiénaga___Centro_De_Logística_Y_Promoción_Ecoturística_Del_Magdalena">#REF!</definedName>
    <definedName name="Regional_MagdalenaCiénagaCentro_De_Logística_Y_Promoción_Ecoturística_Del_Magdalena">#REF!</definedName>
    <definedName name="Regional_MagdalenaIpc___Centro_De_Logística_Y_Promoción_Ecoturística_Del_Magdalena">#REF!</definedName>
    <definedName name="Regional_MagdalenaIpcCentro_De_Logística_Y_Promoción_Ecoturística_Del_Magdalena">#REF!</definedName>
    <definedName name="Regional_MagdalenaRegional_Magdalena">#REF!</definedName>
    <definedName name="Regional_MagdalenaSede_El_Banco">#REF!</definedName>
    <definedName name="Regional_MagdalenaSede_Fundación">#REF!</definedName>
    <definedName name="Regional_MagdalenaSede_Plato">#REF!</definedName>
    <definedName name="Regional_Meta">f!$AQ$84:$AQ$90</definedName>
    <definedName name="Regional_MetaCentro_De_Industria_Y_Servicios_Del_Meta">#REF!</definedName>
    <definedName name="Regional_MetaRegional_Meta">#REF!</definedName>
    <definedName name="Regional_MetaSede_El_Hachon">#REF!</definedName>
    <definedName name="Regional_MetaSede_El_Taladro">#REF!</definedName>
    <definedName name="Regional_MetaSede_Granada">#REF!</definedName>
    <definedName name="Regional_MetaSede_Los_Naranjos">#REF!</definedName>
    <definedName name="Regional_MetaSede_Puerto_Gaitan">#REF!</definedName>
    <definedName name="Regional_Narino">f!$AR$84:$AR$93</definedName>
    <definedName name="Regional_NariñoCentro_Agroindustrial_Y_Pesquero_De_La_Costa_Pacífica">#REF!</definedName>
    <definedName name="Regional_NariñoCentro_Internacional_De_Producción_Limpia___Lope">#REF!</definedName>
    <definedName name="Regional_NariñoCentro_Internacional_De_Producción_LimpiaLope">#REF!</definedName>
    <definedName name="Regional_NariñoCentro_Sur_Colombiano_De_Logística_Internacional">#REF!</definedName>
    <definedName name="Regional_NariñoRegional_Nariño">#REF!</definedName>
    <definedName name="Regional_NariñoSede_Ipiales">#REF!</definedName>
    <definedName name="Regional_NariñoSede_La_Union_Nariño">#REF!</definedName>
    <definedName name="Regional_NariñoSede_Muelle">#REF!</definedName>
    <definedName name="Regional_NariñoSede_Obando">#REF!</definedName>
    <definedName name="Regional_NariñoSpe_Pasto">#REF!</definedName>
    <definedName name="Regional_NariñoTecnoacademia_Del_Centro_Surcolombiano_De_Logística_Internacional">#REF!</definedName>
    <definedName name="Regional_Norte_de_Santander">f!$AS$84:$AS$96</definedName>
    <definedName name="Regional_Norte_De_SantanderCentro_De_Formación_Para_El_Desarrollo_Rural_Y_Minero_Cedrum">#REF!</definedName>
    <definedName name="Regional_Norte_De_SantanderCentro_De_Formación_Para_El_Desarrollo_Rural_Y_MineroCedrum">#REF!</definedName>
    <definedName name="Regional_Norte_De_SantanderCentro_De_La_Industria__La_Empresa_Y_Los_Servicios">#REF!</definedName>
    <definedName name="Regional_Norte_De_SantanderLos_Patios">#REF!</definedName>
    <definedName name="Regional_Norte_De_SantanderRegional_Norte_De_Santander">#REF!</definedName>
    <definedName name="Regional_Norte_De_SantanderRegional_Norte_De_Santander___Bloque_Formación_Pescadero">#REF!</definedName>
    <definedName name="Regional_Norte_De_SantanderRegional_Norte_De_SantanderBloque_Formación_Pescadero">#REF!</definedName>
    <definedName name="Regional_Norte_De_SantanderSede_Centro_De_Calzado">#REF!</definedName>
    <definedName name="Regional_Norte_De_SantanderSede_Confecciones_Y_Madera___Comuneros">#REF!</definedName>
    <definedName name="Regional_Norte_De_SantanderSede_Confecciones_Y_MaderaComuneros">#REF!</definedName>
    <definedName name="Regional_Norte_De_SantanderSede_Grupo_Ocaña">#REF!</definedName>
    <definedName name="Regional_Norte_De_SantanderSede_Grupo_Pamplona">#REF!</definedName>
    <definedName name="Regional_Norte_De_SantanderSede_Pamplona">#REF!</definedName>
    <definedName name="Regional_Norte_de_SantanderSubsede_Agropecuaria_El_Zulia">#REF!</definedName>
    <definedName name="Regional_Norte_De_SantanderTecnoparque_Nodo_Ocaña">#REF!</definedName>
    <definedName name="Regional_Norte_De_SantanderTecnoparque_Y_Tecnoacademia_Cúcuta">#REF!</definedName>
    <definedName name="Regional_Putumayo">f!$AT$84:$AT$88</definedName>
    <definedName name="Regional_PutumayoCentro_Agroforestal_Y_Acuícola_Arapaima">#REF!</definedName>
    <definedName name="Regional_PutumayoPuerto_Leguizamo">#REF!</definedName>
    <definedName name="Regional_PutumayoRegional_Putumayo">#REF!</definedName>
    <definedName name="Regional_PutumayoSede_Mocoa">#REF!</definedName>
    <definedName name="Regional_PutumayoSibundoy">#REF!</definedName>
    <definedName name="Regional_Quindio">f!$AU$84:$AU$88</definedName>
    <definedName name="Regional_QuindíoCentro_Agroindustrial">#REF!</definedName>
    <definedName name="Regional_QuindíoCentro_De_Comercio__Industria_Y_Turismo">#REF!</definedName>
    <definedName name="Regional_QuindíoCentro_Para_El_Desarrollo_Tecnológico_De_La_Construcción_Y_La_Industria">#REF!</definedName>
    <definedName name="Regional_QuindíoRegional_Quindío">#REF!</definedName>
    <definedName name="Regional_QuindíoTecnoacademia_Armenia">#REF!</definedName>
    <definedName name="Regional_Risaralda">f!$AV$84:$AV$91</definedName>
    <definedName name="Regional_RisaraldaCentro_Atención_Sector_Agropecuario">#REF!</definedName>
    <definedName name="Regional_RisaraldaCentro_De_Comercio_Y_Servicios">#REF!</definedName>
    <definedName name="Regional_RisaraldaCentro_De_Diseño_E_Innovación_Tecnológica_Industrial">#REF!</definedName>
    <definedName name="Regional_RisaraldaEscuela_Gastronómica_Y_Cultural__Calle_De_La_Fundación">#REF!</definedName>
    <definedName name="Regional_RisaraldaRegional_Risaralda">#REF!</definedName>
    <definedName name="Regional_RisaraldaSanta_Rosa_De_Cabal">#REF!</definedName>
    <definedName name="Regional_RisaraldaSede_Centro_De_Pereira">#REF!</definedName>
    <definedName name="Regional_RisaraldaTecnoacademia_Dosquebradas">#REF!</definedName>
    <definedName name="Regional_San_Andres">f!$AW$84:$AW$89</definedName>
    <definedName name="Regional_San_AndresCampamento_Providencia">#REF!</definedName>
    <definedName name="Regional_San_AndresCentro_De_Formación_Turística__Gente_De_Mar_Y_De_Servicios">#REF!</definedName>
    <definedName name="Regional_San_AndresNueva_Sede_Providencia">#REF!</definedName>
    <definedName name="Regional_San_AndresRegional_San_Andrés">#REF!</definedName>
    <definedName name="Regional_San_AndresSede_Bilingüismo">#REF!</definedName>
    <definedName name="Regional_San_AndresSede_Providencia">#REF!</definedName>
    <definedName name="Regional_Santander">f!$AX$84:$AX$112</definedName>
    <definedName name="Regional_SantanderAgencia_Pública_De_Empleo">#REF!</definedName>
    <definedName name="Regional_SantanderCentro_Agroempresarial_Y_Turístico_De_Los_Andes">#REF!</definedName>
    <definedName name="Regional_SantanderCentro_Agroturístico">#REF!</definedName>
    <definedName name="Regional_SantanderCentro_Atención_Sector_Agropecuario">#REF!</definedName>
    <definedName name="Regional_SantanderCentro_Comercial_San_Gil_Plaza">#REF!</definedName>
    <definedName name="Regional_SantanderCentro_De_Desarrollo_Vecinal_Cdv">#REF!</definedName>
    <definedName name="Regional_SantanderCentro_De_Gestión_Agroempresarial_Del_Oriente">#REF!</definedName>
    <definedName name="Regional_SantanderCentro_De_Servicios_Empresariales_Y_Turísticos">#REF!</definedName>
    <definedName name="Regional_SantanderCentro_de_Servicios_Empresariales_y_Turísticos4">#REF!</definedName>
    <definedName name="Regional_SantanderCentro_Industrial_De_Mantenimiento_Integral">#REF!</definedName>
    <definedName name="Regional_SantanderCentro_Industrial_Del_Diseño_Y_La_Manufactura">#REF!</definedName>
    <definedName name="Regional_SantanderCentro_Industrial_Y_Del_Desarrollo_Tecnológico">#REF!</definedName>
    <definedName name="Regional_SantanderCimitarra">#REF!</definedName>
    <definedName name="Regional_SantanderInstituto_Técnico_Industrial">#REF!</definedName>
    <definedName name="Regional_SantanderRegional_Santander">#REF!</definedName>
    <definedName name="Regional_SantanderSede_Aguascalientes">#REF!</definedName>
    <definedName name="Regional_SantanderSede_Ased">#REF!</definedName>
    <definedName name="Regional_SantanderSede_Finca_Villa_Luz">#REF!</definedName>
    <definedName name="Regional_SantanderSede_Granja_Los_Andes">#REF!</definedName>
    <definedName name="Regional_SantanderSede_Salud">#REF!</definedName>
    <definedName name="Regional_SantanderSede_Soatá">#REF!</definedName>
    <definedName name="Regional_SantanderSede_Socorro">#REF!</definedName>
    <definedName name="Regional_SantanderServicio_Médico_Asistencial">#REF!</definedName>
    <definedName name="Regional_SantanderSubsede">#REF!</definedName>
    <definedName name="Regional_SantanderSubsede_2">#REF!</definedName>
    <definedName name="Regional_SantanderSubsede3">#REF!</definedName>
    <definedName name="Regional_SantanderTecnoacademia_Bucaramanga">#REF!</definedName>
    <definedName name="Regional_SantanderTecnoparque_Bucaramanga">#REF!</definedName>
    <definedName name="Regional_SantanderUnidad_De_Correspondencia_Archivo_Central">#REF!</definedName>
    <definedName name="Regional_Sucre">f!$AY$84:$AY$90</definedName>
    <definedName name="Regional_SucreCentro_de_Formación_Agropecuarias_SENA_La_Mojana">#REF!</definedName>
    <definedName name="Regional_SucreCentro_De_La_Innovación__La_Tecnología_Y_Los_Servicios">#REF!</definedName>
    <definedName name="Regional_SucreCentro_De_La_Innovación_La_Tecnología_Y_Los_Servicios___La_Gallera">#REF!</definedName>
    <definedName name="Regional_SucreCentro_De_La_Innovación_La_Tecnología_Y_Los_ServiciosLa_Gallera">#REF!</definedName>
    <definedName name="Regional_SucreRegional_Sucre">#REF!</definedName>
    <definedName name="Regional_SucreSede_Corozal">#REF!</definedName>
    <definedName name="Regional_SucreSede_Escuela_Gastronómica">#REF!</definedName>
    <definedName name="Regional_SucreSede_Nueva_Boston">#REF!</definedName>
    <definedName name="Regional_Tolima">f!$AZ$84:$AZ$89</definedName>
    <definedName name="Regional_TolimaCentro_Agropecuario_La_Granja">#REF!</definedName>
    <definedName name="Regional_TolimaCentro_De_Comercio_Y_Servicios">#REF!</definedName>
    <definedName name="Regional_TolimaCentro_De_Industria_Y_La_Construcción">#REF!</definedName>
    <definedName name="Regional_TolimaEscuela_Postcosecha__Frutas_Y_Hortalizas">#REF!</definedName>
    <definedName name="Regional_TolimaRegional_Tolima">#REF!</definedName>
    <definedName name="Regional_TolimaSede_Escuela_Gastronómica">#REF!</definedName>
    <definedName name="Regional_Valle">f!$BA$84:$BA$110</definedName>
    <definedName name="Regional_ValleCentro_Agropecuario_De_Buga">#REF!</definedName>
    <definedName name="Regional_ValleCentro_De_Biotecnología_Industrial">#REF!</definedName>
    <definedName name="Regional_ValleCentro_De_Diseño_Tecnológico_Industrial___Complejo_Salomia">#REF!</definedName>
    <definedName name="Regional_ValleCentro_De_Diseño_Tecnológico_Industrial_–C.D.T.I._El_Pondaje">#REF!</definedName>
    <definedName name="Regional_ValleCentro_De_Diseño_Tecnológico_IndustrialComplejo_Salomia">#REF!</definedName>
    <definedName name="Regional_ValleCentro_De_Electricidad_Y_Automatización_Industrial___Ceai___Complejo_Salomia">#REF!</definedName>
    <definedName name="Regional_ValleCentro_De_Electricidad_Y_Automatización_IndustrialCeaiComplejo_Salomia">#REF!</definedName>
    <definedName name="Regional_ValleCentro_De_Gestión_Tecnológica_De_Servicios__Cgts___Complejo_Salomia">#REF!</definedName>
    <definedName name="Regional_ValleCentro_De_Gestión_Tecnológica_De_Servicios_CgtsComplejo_Salomia">#REF!</definedName>
    <definedName name="Regional_ValleCentro_De_La_Construcción">#REF!</definedName>
    <definedName name="Regional_ValleCentro_De_Tecnologías_Agroindustriales">#REF!</definedName>
    <definedName name="Regional_ValleCentro_Latinoamericano_De_Especies_Menores">#REF!</definedName>
    <definedName name="Regional_ValleCentro_Nacional_De_Asistencia_Técnica_A_La_Industria___Astin___Complejo_Salomia">#REF!</definedName>
    <definedName name="Regional_ValleCentro_Nacional_De_Asistencia_Técnica_A_La_IndustriaAstinComplejo_Salomia">#REF!</definedName>
    <definedName name="Regional_ValleCentro_Náutico_Pesquero_de_Buenaventura">#REF!</definedName>
    <definedName name="Regional_ValleRegional_Valle">#REF!</definedName>
    <definedName name="Regional_ValleSede_Alameda_Centro_De_Electricidad_Y_Automatización_Industrial">#REF!</definedName>
    <definedName name="Regional_ValleSede_Bretaña___Ceai">#REF!</definedName>
    <definedName name="Regional_ValleSede_BretañaCeai">#REF!</definedName>
    <definedName name="Regional_ValleSede_Centro_Náutico_Pesquero_De_Buenaventura">#REF!</definedName>
    <definedName name="Regional_ValleSede_Escuela_Gastronómica_Del_Centro_De_Gestión_Tecnológica_De_Servicios">#REF!</definedName>
    <definedName name="Regional_ValleSede_Industrial">#REF!</definedName>
    <definedName name="Regional_ValleSede_Ladera">#REF!</definedName>
    <definedName name="Regional_ValleSede_Norte___CEAI">#REF!</definedName>
    <definedName name="Regional_ValleSede_NorteCEAI">#REF!</definedName>
    <definedName name="Regional_ValleSede_Yumbo">#REF!</definedName>
    <definedName name="Regional_ValleSena_Clem___Sagrado_Corazón_De_Jesus">#REF!</definedName>
    <definedName name="Regional_ValleSena_ClemSagrado_Corazón_De_Jesus">#REF!</definedName>
    <definedName name="Regional_ValleSpe_Cali">#REF!</definedName>
    <definedName name="Regional_ValleSpe_Tuluá">#REF!</definedName>
    <definedName name="Regional_ValleSubsede">#REF!</definedName>
    <definedName name="Regional_ValleSubsede_2">#REF!</definedName>
    <definedName name="Regional_ValleSubsede_3">#REF!</definedName>
    <definedName name="Regional_ValleTecnoparque_Colombia_Plaza_Caicedo">#REF!</definedName>
    <definedName name="Regional_Vaupés">f!$BB$84:$BB$87</definedName>
    <definedName name="Regional_VaupésCentro_Agropecuario_Y_De_Servicios_Ambientales_Jiri_Jirimo">#REF!</definedName>
    <definedName name="Regional_VaupésCentro_Agropecuario_Y_De_Servicios_Ambientales_JiriJirimo">#REF!</definedName>
    <definedName name="Regional_VaupésRegional_Vaupés">#REF!</definedName>
    <definedName name="Regional_VaupésRegional_Vaupés_2">#REF!</definedName>
    <definedName name="Regional_VaupésSede_Cuervo_Araoz">#REF!</definedName>
    <definedName name="Regional_Vichada">f!$BC$84:$BC$89</definedName>
    <definedName name="Regional_VichadaAula_Itinerante___Cumaribo">#REF!</definedName>
    <definedName name="Regional_VichadaAula_ItineranteCumaribo">#REF!</definedName>
    <definedName name="Regional_VichadaCentro_De_Producción_Y_Transformación_Agroindustrial_De_La_Orinoquía">#REF!</definedName>
    <definedName name="Regional_VichadaRegional_Vichada">#REF!</definedName>
    <definedName name="Regional_VichadaSede_La_Primavera">#REF!</definedName>
    <definedName name="Regional_VichadaSubsede">#REF!</definedName>
    <definedName name="Regional_VichadaSubsede_2">#REF!</definedName>
    <definedName name="Regionales">f!$U$84:$U$118</definedName>
    <definedName name="Rol">TBL_Rol[Rol]</definedName>
    <definedName name="Salon_Comunal___Vereda_La_Toma___La_Calera">#REF!</definedName>
    <definedName name="Santa_Rosa_De_Osos">#REF!</definedName>
    <definedName name="Secretaria_G02">#REF!</definedName>
    <definedName name="Secretaria_G03">#REF!</definedName>
    <definedName name="Secretaria_G04">#REF!</definedName>
    <definedName name="Secretaria_General">#REF!</definedName>
    <definedName name="Secretario_General_G10">#REF!</definedName>
    <definedName name="Sector_Chambacú__Barrio_Villa_Esther">#REF!</definedName>
    <definedName name="Sector_Pueblo_Viejo">#REF!</definedName>
    <definedName name="Sede_Alterna___Regional_Antioquia">#REF!</definedName>
    <definedName name="Sede_Aviación">#REF!</definedName>
    <definedName name="Sede_Casa_Del_Marqués">#REF!</definedName>
    <definedName name="Sede_Centro_De_Formación_Minero_Ambiental">#REF!</definedName>
    <definedName name="Sede_Centro_Nacional_Colombo_Alemán___Malambo">#REF!</definedName>
    <definedName name="Sede_Chiquinquirá">#REF!</definedName>
    <definedName name="Sede_Cisneros">#REF!</definedName>
    <definedName name="Sede_Cocorná">#REF!</definedName>
    <definedName name="Sede_De_La_Asociación_De_Palmicultores__San_Pablo___Bolívar">#REF!</definedName>
    <definedName name="Sede_Duitama___Ciudadela_Industrial">#REF!</definedName>
    <definedName name="Sede_Energía">#REF!</definedName>
    <definedName name="Sede_Gómez_Plata">#REF!</definedName>
    <definedName name="Sede_Guarne">#REF!</definedName>
    <definedName name="Sede_La_Inmaculada">#REF!</definedName>
    <definedName name="Sede_Mompós">#REF!</definedName>
    <definedName name="Sede_San_Jacinto">#REF!</definedName>
    <definedName name="Sede_San_Pablo">#REF!</definedName>
    <definedName name="Sede_Saravena">#REF!</definedName>
    <definedName name="Sede_Sonsón">#REF!</definedName>
    <definedName name="Sede_Tame">#REF!</definedName>
    <definedName name="Sede_Zona_Franca">#REF!</definedName>
    <definedName name="Sedes">TBL_Sedes[Ciudad Nombre de la sede]</definedName>
    <definedName name="Subdirector_De_Centro_G02">#REF!</definedName>
    <definedName name="Subsede">#REF!</definedName>
    <definedName name="Técnico_G01">#REF!</definedName>
    <definedName name="Técnico_G02">#REF!</definedName>
    <definedName name="Técnico_G03">#REF!</definedName>
    <definedName name="Tecnoacademia_Arauca">#REF!</definedName>
    <definedName name="Tecnoacademia_Hábitat_De_La_Construcción__Colegio_Loyola">#REF!</definedName>
    <definedName name="Tecnoacademia_Marinilla">#REF!</definedName>
    <definedName name="Tecnoparque_Colombia_Nodo_Medellín">#REF!</definedName>
    <definedName name="Tecnoparque_Nodo_Rionegro__Escuela_Gastronómica">#REF!</definedName>
    <definedName name="Terminal_De_Transportes____Carrera_9A_No._3_120">#REF!</definedName>
    <definedName name="Ternera_Km_1_Vía_Turbaco">#REF!</definedName>
    <definedName name="Ternera_Km_1_Vía_Turbaco_9">#REF!</definedName>
    <definedName name="Tipo_De_Contrato">Tabla2[Tipo De Contrato]</definedName>
    <definedName name="Tipo_De_Solicitud">TBL_Tipo_De_Solicitud[Tipo de solicitud]</definedName>
    <definedName name="Trabajador_De_Campo_G05">#REF!</definedName>
    <definedName name="Trabajador_De_Campo_G06">#REF!</definedName>
    <definedName name="Trabajador_De_Campo_G07">#REF!</definedName>
    <definedName name="Trabajador_De_Campo_G08">#REF!</definedName>
    <definedName name="Trabajador_De_Campo_G09">#REF!</definedName>
    <definedName name="Trabajador_De_Campo_G10">#REF!</definedName>
    <definedName name="Transv_8_No._5_51__Barrio_La_Consolata">#REF!</definedName>
    <definedName name="Transversal_16_Nº_33_102__Barrio_El_Bosque">#REF!</definedName>
    <definedName name="Transversal_16A_con_Avenida_Manuel_Humberto_Cardenas">#REF!</definedName>
    <definedName name="Transversal_1ª_No._42_44">#REF!</definedName>
    <definedName name="Transversal_1ª_No._42_4440">#REF!</definedName>
    <definedName name="Transversal_21___11___140__Av._Cordialidad">#REF!</definedName>
    <definedName name="Transversal_6ª_No_29ª_03_Vía_Al_Coco">#REF!</definedName>
    <definedName name="Transversal_6ª_No_29ª_03_Vía_Al_Coco26">#REF!</definedName>
    <definedName name="Transversal_7_Calle_26_Barrio_Santa_Isabel">#REF!</definedName>
    <definedName name="Transversal_78_J_No_41D_15_Sur_Kennedy">#REF!</definedName>
    <definedName name="Transversal_9___3N_02">#REF!</definedName>
    <definedName name="Tranv_82___44_37_Sur">#REF!</definedName>
    <definedName name="Trnasversal_30_N°_7_110____Instituto_Técnico_Industrial_Lucio_Pabón_Núñez_Piso_1___Barrio_La_Primavera">#REF!</definedName>
    <definedName name="Unidad_De_Emprendimiento_Y_Agencia_Pública_De_Empleo">#REF!</definedName>
    <definedName name="Usuario_Externo">TBL_Usuario_Externo[Usuario Externo]</definedName>
    <definedName name="Vereda_Bojacá_Carrera_11_Sector_El_Darien_Lote_1_Chia">#REF!</definedName>
    <definedName name="Vereda_Campo_Alegre__Predios_Mundo_Nuevo_1_Y_Mundo_Nuevo_2">#REF!</definedName>
    <definedName name="Vereda_El__Pañomar_Norte__Villa_Verta_Cra_2_al_lado_del__Colegio_El_Palomar">#REF!</definedName>
    <definedName name="Vereda_El_Resguardo__Lote_1_Fusagasugá_Cundinamarca">#REF!</definedName>
    <definedName name="Vereda_Fraguita__Sector_Portachuelo__Antigua_Sede_Administrativa_de_Transito_Zipaquirá_Cundinamarca">#REF!</definedName>
    <definedName name="Vereda_La_Bodega__Zona_Franca_De_Rionegro_Bodega_14_Y_15">#REF!</definedName>
    <definedName name="Vereda_La_Bodega__Zona_Franca_Rionegro_Bodega_15">#REF!</definedName>
    <definedName name="Vereda_Machindoy___Via_Itp__Instituto_Técnico_Del_Putumayo">#REF!</definedName>
    <definedName name="Veredá_Morcá">#REF!</definedName>
    <definedName name="Vereda_Pozo_Negro_Km._7_Vía_Barbosa_–_Vélez">#REF!</definedName>
    <definedName name="Villas_De_San_Pablo__Super_Manzana_Equipamento_Institucional_Mf_Eq___Lote_Fundación_Santo_Domingo">#REF!</definedName>
    <definedName name="Zona_Franca_De_Rionegro_Bodega_49">#REF!</definedName>
    <definedName name="Zona_Industrial_De_Mamonal_Km_5">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<sst xmlns="http://schemas.openxmlformats.org/spreadsheetml/2006/main" count="1768" uniqueCount="1768">
  <si>
    <t xml:space="preserve">Tipo de solicitud</t>
  </si>
  <si>
    <t xml:space="preserve">Tipo De Contrato</t>
  </si>
  <si>
    <t>Contratista</t>
  </si>
  <si>
    <t>Planta</t>
  </si>
  <si>
    <t xml:space="preserve">Usuario Externo</t>
  </si>
  <si>
    <t>Rol</t>
  </si>
  <si>
    <t>vpn</t>
  </si>
  <si>
    <t>Aprendiz</t>
  </si>
  <si>
    <t>Activar</t>
  </si>
  <si>
    <t xml:space="preserve">Aseador G01</t>
  </si>
  <si>
    <t>Administrativo</t>
  </si>
  <si>
    <t>SI</t>
  </si>
  <si>
    <t xml:space="preserve">Contrato Aprendizaje SENA</t>
  </si>
  <si>
    <t>Crear</t>
  </si>
  <si>
    <t xml:space="preserve">Aseador G03</t>
  </si>
  <si>
    <t>Funcionario</t>
  </si>
  <si>
    <t>NO</t>
  </si>
  <si>
    <t xml:space="preserve">Etapa Productiva SENA</t>
  </si>
  <si>
    <t>Inactivar</t>
  </si>
  <si>
    <t>Usuario_Externo</t>
  </si>
  <si>
    <t xml:space="preserve">Aseador G04</t>
  </si>
  <si>
    <t>Instructor</t>
  </si>
  <si>
    <t>Modificar</t>
  </si>
  <si>
    <t xml:space="preserve">Aseador G05</t>
  </si>
  <si>
    <t>Director</t>
  </si>
  <si>
    <t xml:space="preserve">Aseador G06</t>
  </si>
  <si>
    <t>Asesor</t>
  </si>
  <si>
    <t xml:space="preserve">Aseador G07</t>
  </si>
  <si>
    <t>Subdirector</t>
  </si>
  <si>
    <t xml:space="preserve">Aseador G08</t>
  </si>
  <si>
    <t xml:space="preserve">Jefe de Oficina</t>
  </si>
  <si>
    <t xml:space="preserve">Aseador G09</t>
  </si>
  <si>
    <t>Coordinador</t>
  </si>
  <si>
    <t xml:space="preserve">Aseador G10</t>
  </si>
  <si>
    <t>Profesional</t>
  </si>
  <si>
    <t xml:space="preserve">Asesor G01</t>
  </si>
  <si>
    <t>Técnico</t>
  </si>
  <si>
    <t xml:space="preserve">Asesor G02</t>
  </si>
  <si>
    <t>Secretaria</t>
  </si>
  <si>
    <t xml:space="preserve">Asesor G03</t>
  </si>
  <si>
    <t>Asistencial</t>
  </si>
  <si>
    <t xml:space="preserve">Asesor G04</t>
  </si>
  <si>
    <t>Auxiliar</t>
  </si>
  <si>
    <t xml:space="preserve">Asesor G05</t>
  </si>
  <si>
    <t>Oficinista</t>
  </si>
  <si>
    <t xml:space="preserve">Auxiliar De Cocina G10</t>
  </si>
  <si>
    <t xml:space="preserve">Trabajador Oficial</t>
  </si>
  <si>
    <t xml:space="preserve">Auxiliar Enfermería G10</t>
  </si>
  <si>
    <t xml:space="preserve">Auxiliar G01</t>
  </si>
  <si>
    <t xml:space="preserve">Auxiliar G02</t>
  </si>
  <si>
    <t xml:space="preserve">Conductor G07</t>
  </si>
  <si>
    <t xml:space="preserve">Conductor G08</t>
  </si>
  <si>
    <t xml:space="preserve">Conductor G09</t>
  </si>
  <si>
    <t xml:space="preserve">Conductor G10</t>
  </si>
  <si>
    <t xml:space="preserve">Director De Área G10</t>
  </si>
  <si>
    <t xml:space="preserve">Director General G11</t>
  </si>
  <si>
    <t xml:space="preserve">Director Regional  A G08</t>
  </si>
  <si>
    <t xml:space="preserve">Director Regional  B G07</t>
  </si>
  <si>
    <t xml:space="preserve">Director Regional  C G04</t>
  </si>
  <si>
    <t xml:space="preserve">Director Regional  C G05</t>
  </si>
  <si>
    <t xml:space="preserve">Instructor G01</t>
  </si>
  <si>
    <t xml:space="preserve">Instructor G02</t>
  </si>
  <si>
    <t xml:space="preserve">Instructor G03</t>
  </si>
  <si>
    <t xml:space="preserve">Instructor G04</t>
  </si>
  <si>
    <t xml:space="preserve">Instructor G05</t>
  </si>
  <si>
    <t xml:space="preserve">Instructor G06</t>
  </si>
  <si>
    <t xml:space="preserve">Instructor G07</t>
  </si>
  <si>
    <t xml:space="preserve">Instructor G08</t>
  </si>
  <si>
    <t xml:space="preserve">Instructor G09</t>
  </si>
  <si>
    <t xml:space="preserve">Instructor G10</t>
  </si>
  <si>
    <t xml:space="preserve">Instructor G11</t>
  </si>
  <si>
    <t xml:space="preserve">Instructor G12</t>
  </si>
  <si>
    <t xml:space="preserve">Instructor G13</t>
  </si>
  <si>
    <t xml:space="preserve">Instructor G14</t>
  </si>
  <si>
    <t xml:space="preserve">Instructor G15</t>
  </si>
  <si>
    <t xml:space="preserve">Instructor G16</t>
  </si>
  <si>
    <t xml:space="preserve">Instructor G17</t>
  </si>
  <si>
    <t xml:space="preserve">Instructor G18</t>
  </si>
  <si>
    <t xml:space="preserve">Instructor G19</t>
  </si>
  <si>
    <t xml:space="preserve">Instructor G20</t>
  </si>
  <si>
    <t xml:space="preserve">Jefe De Oficina G06</t>
  </si>
  <si>
    <t xml:space="preserve">Médico  Medio Tiempo G01</t>
  </si>
  <si>
    <t xml:space="preserve">Odontólogo Medio Tiempo G01</t>
  </si>
  <si>
    <t xml:space="preserve">Oficial Mantto Gral.G03</t>
  </si>
  <si>
    <t xml:space="preserve">Oficial Mantto Gral.G05</t>
  </si>
  <si>
    <t xml:space="preserve">Oficial Mantto Gral.G06</t>
  </si>
  <si>
    <t xml:space="preserve">Oficial Mantto Gral.G08</t>
  </si>
  <si>
    <t xml:space="preserve">Oficial Mantto Gral.G09</t>
  </si>
  <si>
    <t xml:space="preserve">Oficial Mantto Gral.G10</t>
  </si>
  <si>
    <t xml:space="preserve">Oficinista G02</t>
  </si>
  <si>
    <t xml:space="preserve">Oficinista G03</t>
  </si>
  <si>
    <t xml:space="preserve">Operario Almacén G10</t>
  </si>
  <si>
    <t xml:space="preserve">Operario Mtto Gral.G07</t>
  </si>
  <si>
    <t xml:space="preserve">Operario Mtto Gral.G09</t>
  </si>
  <si>
    <t xml:space="preserve">Operario Mtto Gral.G10</t>
  </si>
  <si>
    <t xml:space="preserve">Profesional G01</t>
  </si>
  <si>
    <t xml:space="preserve">Profesional G02</t>
  </si>
  <si>
    <t xml:space="preserve">Profesional G03</t>
  </si>
  <si>
    <t xml:space="preserve">Profesional G04</t>
  </si>
  <si>
    <t xml:space="preserve">Profesional G05</t>
  </si>
  <si>
    <t xml:space="preserve">Profesional G06</t>
  </si>
  <si>
    <t xml:space="preserve">Profesional G07</t>
  </si>
  <si>
    <t xml:space="preserve">Profesional G08</t>
  </si>
  <si>
    <t xml:space="preserve">Profesional G09</t>
  </si>
  <si>
    <t xml:space="preserve">Profesional G10</t>
  </si>
  <si>
    <t xml:space="preserve">Secretaria G02</t>
  </si>
  <si>
    <t xml:space="preserve">Secretaria G03</t>
  </si>
  <si>
    <t xml:space="preserve">Secretaria G04</t>
  </si>
  <si>
    <t xml:space="preserve">Secretario General G10</t>
  </si>
  <si>
    <t xml:space="preserve">Subdirector De Centro G02</t>
  </si>
  <si>
    <t xml:space="preserve">Técnico G01</t>
  </si>
  <si>
    <t xml:space="preserve">Técnico G02</t>
  </si>
  <si>
    <t xml:space="preserve">Técnico G03</t>
  </si>
  <si>
    <t xml:space="preserve">Trabajador De Campo G05</t>
  </si>
  <si>
    <t xml:space="preserve">Trabajador De Campo G06</t>
  </si>
  <si>
    <t xml:space="preserve">Trabajador De Campo G07</t>
  </si>
  <si>
    <t xml:space="preserve">Trabajador De Campo G08</t>
  </si>
  <si>
    <t xml:space="preserve">Trabajador De Campo G09</t>
  </si>
  <si>
    <t xml:space="preserve">Trabajador De Campo G10</t>
  </si>
  <si>
    <t xml:space="preserve">Ciudad Nombre de la sede</t>
  </si>
  <si>
    <t>ID</t>
  </si>
  <si>
    <t xml:space="preserve">Código TIC</t>
  </si>
  <si>
    <t>Regional</t>
  </si>
  <si>
    <t>Ciudad</t>
  </si>
  <si>
    <t xml:space="preserve">Nombre de la sede</t>
  </si>
  <si>
    <t>Dirección</t>
  </si>
  <si>
    <t>Clase</t>
  </si>
  <si>
    <t>Tipo</t>
  </si>
  <si>
    <t xml:space="preserve">Horario Atención L-V</t>
  </si>
  <si>
    <t xml:space="preserve">Horario Sabatino</t>
  </si>
  <si>
    <t xml:space="preserve">Horario Dominical</t>
  </si>
  <si>
    <t>Estado</t>
  </si>
  <si>
    <t xml:space="preserve">Líder TIC</t>
  </si>
  <si>
    <t>Correo</t>
  </si>
  <si>
    <t>Celular</t>
  </si>
  <si>
    <t>IP</t>
  </si>
  <si>
    <t xml:space="preserve">Sede Propia / Arriendo / Comodato</t>
  </si>
  <si>
    <t xml:space="preserve">Fecha inicio contrato</t>
  </si>
  <si>
    <t xml:space="preserve">Fecha fin contrato</t>
  </si>
  <si>
    <t xml:space="preserve"> </t>
  </si>
  <si>
    <t>Cesar</t>
  </si>
  <si>
    <t>Aguachica</t>
  </si>
  <si>
    <t xml:space="preserve">Centro Agroempresarial</t>
  </si>
  <si>
    <t xml:space="preserve">Km 1 Vía Bucaramanga</t>
  </si>
  <si>
    <t xml:space="preserve">Centro De Formación</t>
  </si>
  <si>
    <t>B</t>
  </si>
  <si>
    <t xml:space="preserve">07:00 A 19:00</t>
  </si>
  <si>
    <t>N/A</t>
  </si>
  <si>
    <t>Activa</t>
  </si>
  <si>
    <t xml:space="preserve">Nataniel Romero Oñate</t>
  </si>
  <si>
    <t>nromeroo@sena.edu.co</t>
  </si>
  <si>
    <t>Propia</t>
  </si>
  <si>
    <t>Antioquia</t>
  </si>
  <si>
    <t>Apartadó</t>
  </si>
  <si>
    <t xml:space="preserve">Complejo Tecnológico Agroindustrial, Pecuario Y Turístico </t>
  </si>
  <si>
    <t xml:space="preserve">Kilometro 1 Salida Turbo</t>
  </si>
  <si>
    <t>A</t>
  </si>
  <si>
    <t xml:space="preserve">07:00 A 20:00</t>
  </si>
  <si>
    <t xml:space="preserve">08:00 A 14:00</t>
  </si>
  <si>
    <t xml:space="preserve">Ofelia Maria Quejada Duran</t>
  </si>
  <si>
    <t>oquejada@sena.edu.co</t>
  </si>
  <si>
    <t>167A</t>
  </si>
  <si>
    <t>Arauca</t>
  </si>
  <si>
    <t xml:space="preserve">Centro De Gestión Y Desarrollo Agroindustrial De Arauca</t>
  </si>
  <si>
    <t xml:space="preserve">Carrera 20 No.28-163</t>
  </si>
  <si>
    <t xml:space="preserve">06:00 A 22:00</t>
  </si>
  <si>
    <t xml:space="preserve">Andres Felipe Monroy Amaya</t>
  </si>
  <si>
    <t>afmonroy@sena.edu.co</t>
  </si>
  <si>
    <t>Arriendo</t>
  </si>
  <si>
    <t>2021-01-26T05:00:00.000Z</t>
  </si>
  <si>
    <t>2023-12-31T04:59:59.000Z</t>
  </si>
  <si>
    <t xml:space="preserve">Escuela De Gastronomía</t>
  </si>
  <si>
    <t xml:space="preserve">Calle 1 # 1-130 Matevenado</t>
  </si>
  <si>
    <t xml:space="preserve">Subsede Cstic</t>
  </si>
  <si>
    <t>C</t>
  </si>
  <si>
    <t xml:space="preserve">8:00 – 17:00 </t>
  </si>
  <si>
    <t xml:space="preserve">Regional Arauca</t>
  </si>
  <si>
    <t xml:space="preserve">Tecnoacademia Arauca</t>
  </si>
  <si>
    <t xml:space="preserve">Calle 18 # 44-65 </t>
  </si>
  <si>
    <t xml:space="preserve">7:00 - 19:00</t>
  </si>
  <si>
    <t xml:space="preserve">7:00 - 12:00</t>
  </si>
  <si>
    <t>2021-02-15T05:00:00.000Z</t>
  </si>
  <si>
    <t>2021-12-31T04:59:59.000Z</t>
  </si>
  <si>
    <t xml:space="preserve">Unidad De Emprendimiento Y Agencia Pública De Empleo</t>
  </si>
  <si>
    <t xml:space="preserve">Calle 24 No. 19-17 Barrio Córdoba</t>
  </si>
  <si>
    <t>Arauquita</t>
  </si>
  <si>
    <t xml:space="preserve">Granja El Alcaraván Arauquita</t>
  </si>
  <si>
    <t xml:space="preserve">Vereda Campo Alegre, Predios Mundo Nuevo 1 Y Mundo Nuevo 2</t>
  </si>
  <si>
    <t>132A</t>
  </si>
  <si>
    <t>Quindío</t>
  </si>
  <si>
    <t>Armenia</t>
  </si>
  <si>
    <t xml:space="preserve">Centro Agroindustrial</t>
  </si>
  <si>
    <t xml:space="preserve">Carrera 6, Avenida Centenario 44 N - 15</t>
  </si>
  <si>
    <t xml:space="preserve">07:00 A 18:00</t>
  </si>
  <si>
    <t xml:space="preserve">Suspendida Parcial </t>
  </si>
  <si>
    <t xml:space="preserve">Jose Alexander Bermudez</t>
  </si>
  <si>
    <t>jalexanderb@sena.edu.co</t>
  </si>
  <si>
    <t xml:space="preserve">Centro De Comercio, Industria Y Turismo</t>
  </si>
  <si>
    <t xml:space="preserve">Carrera 18 No. 7-58</t>
  </si>
  <si>
    <t xml:space="preserve">06:00 A 19:00</t>
  </si>
  <si>
    <t xml:space="preserve">06:00 A 18:00</t>
  </si>
  <si>
    <t xml:space="preserve">Mario Alexander Ruiz Marulanda</t>
  </si>
  <si>
    <t>maruizm@sena.edu.co</t>
  </si>
  <si>
    <t xml:space="preserve">315 3310808 </t>
  </si>
  <si>
    <t xml:space="preserve">Centro para el desarrollo tecnológico de la construcción y la industria</t>
  </si>
  <si>
    <t xml:space="preserve">Carrera 6 N° 47N - 15</t>
  </si>
  <si>
    <t xml:space="preserve">07:00 A 22:00</t>
  </si>
  <si>
    <t xml:space="preserve">07:00 A 13:00</t>
  </si>
  <si>
    <t xml:space="preserve">Juan Bautista Londoño Pineda</t>
  </si>
  <si>
    <t>jlondonop@sena.edu.co</t>
  </si>
  <si>
    <t xml:space="preserve">310 3812240</t>
  </si>
  <si>
    <t xml:space="preserve">Regional Quindío</t>
  </si>
  <si>
    <t xml:space="preserve">Avenida Centenario 42N-02</t>
  </si>
  <si>
    <t xml:space="preserve">John Freddy Villalba</t>
  </si>
  <si>
    <t>jfvillalba@sena.edu.co</t>
  </si>
  <si>
    <t xml:space="preserve">Tecnoacademia Armenia</t>
  </si>
  <si>
    <t xml:space="preserve">Barrio Puerto Espejo, Manzana # 11</t>
  </si>
  <si>
    <t xml:space="preserve">Subsede Sstic</t>
  </si>
  <si>
    <t xml:space="preserve">08:00 A 12:00</t>
  </si>
  <si>
    <t xml:space="preserve">Jose Alexandet Bermudez</t>
  </si>
  <si>
    <t>Atlántico</t>
  </si>
  <si>
    <t>Baranoa</t>
  </si>
  <si>
    <t xml:space="preserve">Nodo de Confecciones</t>
  </si>
  <si>
    <t xml:space="preserve">Transversal 21 # 11 - 140 (Av. Cordialidad)</t>
  </si>
  <si>
    <t xml:space="preserve">Subsede CSTIC</t>
  </si>
  <si>
    <t xml:space="preserve">7:00 - 18:00</t>
  </si>
  <si>
    <t>8:00-14:00</t>
  </si>
  <si>
    <t>Implementación</t>
  </si>
  <si>
    <t xml:space="preserve">Benjamin Pedrozo Rocha</t>
  </si>
  <si>
    <t>bepedrozor@sena.edu.co</t>
  </si>
  <si>
    <t>Santander</t>
  </si>
  <si>
    <t>Barrancabermeja</t>
  </si>
  <si>
    <t xml:space="preserve">Centro De Desarrollo Vecinal Cdv</t>
  </si>
  <si>
    <t xml:space="preserve">Calle 58  29-57</t>
  </si>
  <si>
    <t xml:space="preserve">06:00 A 21:00</t>
  </si>
  <si>
    <t xml:space="preserve">Sergio Samuel Jaimes Muñoz</t>
  </si>
  <si>
    <t>ssjaimes@sena.edu.co</t>
  </si>
  <si>
    <t xml:space="preserve">Centro Industrial Y Del Desarrollo Tecnológico</t>
  </si>
  <si>
    <t xml:space="preserve">Carrera 28 # 56 - 10 Barrio Galan</t>
  </si>
  <si>
    <t xml:space="preserve">18:00 A 21:00</t>
  </si>
  <si>
    <t>19A</t>
  </si>
  <si>
    <t>Barranquilla</t>
  </si>
  <si>
    <t xml:space="preserve">Centro De Comercio Y Servicios</t>
  </si>
  <si>
    <t xml:space="preserve">Carrera 43  42-40 Piso 10</t>
  </si>
  <si>
    <t xml:space="preserve">Jorge Pinedo</t>
  </si>
  <si>
    <t>jpinedo@sena.edu.co</t>
  </si>
  <si>
    <t>21A</t>
  </si>
  <si>
    <t xml:space="preserve">Centro Industrial Y De Aviación</t>
  </si>
  <si>
    <t xml:space="preserve">Calle 30  3E-164</t>
  </si>
  <si>
    <t xml:space="preserve">00:00 A 00:00</t>
  </si>
  <si>
    <t xml:space="preserve">06:30 A 16:00</t>
  </si>
  <si>
    <t xml:space="preserve">Centro Nacional Colombo Alemán</t>
  </si>
  <si>
    <t xml:space="preserve">06:30 A 18:00</t>
  </si>
  <si>
    <t xml:space="preserve">Hangar Caribe Verde</t>
  </si>
  <si>
    <t xml:space="preserve">Carrera 9G No 110-187 Lote 10 y 11 Caribe Verde  </t>
  </si>
  <si>
    <t>07:00-18:00</t>
  </si>
  <si>
    <t>52300/52243</t>
  </si>
  <si>
    <t xml:space="preserve">Logística Y Transporte</t>
  </si>
  <si>
    <t xml:space="preserve">Carrera 9 No. 127-109</t>
  </si>
  <si>
    <t xml:space="preserve">07:00 A 17:30</t>
  </si>
  <si>
    <t xml:space="preserve">Nodo Construcción E Infraestructura</t>
  </si>
  <si>
    <t xml:space="preserve">Villas De San Pablo, Super Manzana Equipamento Institucional Mf Eq &amp; Lote Fundación Santo Domingo</t>
  </si>
  <si>
    <t xml:space="preserve">Propio no explotado</t>
  </si>
  <si>
    <t xml:space="preserve">Nodo De Hotelería Y Turismo</t>
  </si>
  <si>
    <t xml:space="preserve">Carrera 39 Calle 50 Diagonal A La Aduana</t>
  </si>
  <si>
    <t xml:space="preserve">Nodo De Industrias Creativas</t>
  </si>
  <si>
    <t xml:space="preserve">Carrera 54 # 49 - 09 Colegio Esther De Pelaez (Al Lado De La Casadel Carnaval)</t>
  </si>
  <si>
    <t xml:space="preserve">Nodo Multilingüismo</t>
  </si>
  <si>
    <t xml:space="preserve">Carrera 21B, Calle 40B Esquina Barrio San José</t>
  </si>
  <si>
    <t xml:space="preserve">Nodo Refrigeración</t>
  </si>
  <si>
    <t xml:space="preserve">Carrera 10 # 7E-110 Antiguo Coliseo Del Sur</t>
  </si>
  <si>
    <t xml:space="preserve">Nodo Salud</t>
  </si>
  <si>
    <t xml:space="preserve">Calle 33 # 33 139 Hospital Barranquilla</t>
  </si>
  <si>
    <t xml:space="preserve">Nodo Servicios Administrativos</t>
  </si>
  <si>
    <t xml:space="preserve">CARRERA 6 # 60B-110</t>
  </si>
  <si>
    <t>2021-01-02T05:00:00.000Z</t>
  </si>
  <si>
    <t xml:space="preserve">Nodo Servicios Financieros</t>
  </si>
  <si>
    <t xml:space="preserve">Av. Circunvalar Junto Al Colegio Las Cayenas Kra. 15 Sur # 46 -500</t>
  </si>
  <si>
    <t xml:space="preserve">7:00 - 17:00</t>
  </si>
  <si>
    <t xml:space="preserve">Nodo Tic Barranquilla</t>
  </si>
  <si>
    <t xml:space="preserve">Carrera 54 # 68-80</t>
  </si>
  <si>
    <t xml:space="preserve">Regional Atlántico</t>
  </si>
  <si>
    <t xml:space="preserve">Carrera 43  42-40 Piso 11</t>
  </si>
  <si>
    <t xml:space="preserve">Sede Energía</t>
  </si>
  <si>
    <t xml:space="preserve">Calle 28 # 23-18 Barrio Montes</t>
  </si>
  <si>
    <t>25A</t>
  </si>
  <si>
    <t xml:space="preserve">Distrito Capital</t>
  </si>
  <si>
    <t>Bogotá</t>
  </si>
  <si>
    <t xml:space="preserve">Centro De Diseño Y Metrología - Complejo Paloquemao</t>
  </si>
  <si>
    <t xml:space="preserve">Carrera 31 No 14-20</t>
  </si>
  <si>
    <t xml:space="preserve">07:00 A 14:00</t>
  </si>
  <si>
    <t xml:space="preserve">Julia Elvira Cerinza Blanco</t>
  </si>
  <si>
    <t>jcerinza@sena.edu.co</t>
  </si>
  <si>
    <t xml:space="preserve">313 8459443</t>
  </si>
  <si>
    <t xml:space="preserve">Centro De Electricidad, Electrónica Y Telecomunicaciones - Complejo Sur</t>
  </si>
  <si>
    <t xml:space="preserve">Avenida 30 No 17B-25 Sur</t>
  </si>
  <si>
    <t xml:space="preserve">Wendy Julieth Rodríguez Nieves</t>
  </si>
  <si>
    <t>wjrodriguezn@sena.edu.co</t>
  </si>
  <si>
    <t xml:space="preserve">Centro De Formación De Talento Humano En Salud</t>
  </si>
  <si>
    <t xml:space="preserve">Carrera 6 No. 45 - 52</t>
  </si>
  <si>
    <t xml:space="preserve">Carlos Andres Valencia</t>
  </si>
  <si>
    <t>valenciab@sena.edu.co</t>
  </si>
  <si>
    <t xml:space="preserve">Centro de formación en actividad física y cultura - Onassis</t>
  </si>
  <si>
    <t xml:space="preserve">Tranv 82 # 44-37 Sur</t>
  </si>
  <si>
    <t xml:space="preserve">Marvin Avila Careth</t>
  </si>
  <si>
    <t>acareth@sena.edu.co</t>
  </si>
  <si>
    <t> Comodato</t>
  </si>
  <si>
    <t xml:space="preserve">Centro De Formación En Actividad Física Y Cultura-Kennedy</t>
  </si>
  <si>
    <t xml:space="preserve">Transversal 78 J No 41D-15 Sur Kennedy</t>
  </si>
  <si>
    <t xml:space="preserve">Centro De Gestión Administrativa</t>
  </si>
  <si>
    <t xml:space="preserve">Avenida Carracas No 13-88</t>
  </si>
  <si>
    <t xml:space="preserve">L-V 06:00 A 22:00, martes, miercoles y jueves 24 Horas</t>
  </si>
  <si>
    <t xml:space="preserve">Gloria del Pilar Bernal Peña</t>
  </si>
  <si>
    <t>gbernal@sena.edu.co</t>
  </si>
  <si>
    <t xml:space="preserve">Centro De Gestión De Mercados, Logística Y Tecnologías De La Información</t>
  </si>
  <si>
    <t xml:space="preserve">Calle 52 No 13-65</t>
  </si>
  <si>
    <t xml:space="preserve">07:00 A 12:00</t>
  </si>
  <si>
    <t xml:space="preserve">Darwin Bolivar</t>
  </si>
  <si>
    <t>dbolivar@sena.edu.co</t>
  </si>
  <si>
    <t xml:space="preserve">301 6518099</t>
  </si>
  <si>
    <t xml:space="preserve">Centro De Gestión Industrial - Complejo Paloquemao</t>
  </si>
  <si>
    <t xml:space="preserve">Rodrigo Tibaquira</t>
  </si>
  <si>
    <t>rtibaquira@sena.edu.co</t>
  </si>
  <si>
    <t>24A</t>
  </si>
  <si>
    <t xml:space="preserve">Centro De Manufactura En Textil Y Cuero</t>
  </si>
  <si>
    <t xml:space="preserve">Hans Adalberto Gil Sierra</t>
  </si>
  <si>
    <t>hgil@sena.edu.co</t>
  </si>
  <si>
    <t xml:space="preserve">320 4117234</t>
  </si>
  <si>
    <t>24C</t>
  </si>
  <si>
    <t xml:space="preserve">Centro De Materiales Y Ensayos</t>
  </si>
  <si>
    <t xml:space="preserve">Yury Daniela Rojas Mican</t>
  </si>
  <si>
    <t>ydrojas@sena.edu.co</t>
  </si>
  <si>
    <t>22A</t>
  </si>
  <si>
    <t xml:space="preserve">Centro De Servicios Financieros</t>
  </si>
  <si>
    <t xml:space="preserve">Carrera 13 No 65-10</t>
  </si>
  <si>
    <t xml:space="preserve">06:00 A 22:00    LU-MI-VI 22:00 A 06:00</t>
  </si>
  <si>
    <t xml:space="preserve">Nestor Alfonso Puerto Jiménez</t>
  </si>
  <si>
    <t>npuerto@sena.edu.co</t>
  </si>
  <si>
    <t> </t>
  </si>
  <si>
    <t>24B</t>
  </si>
  <si>
    <t xml:space="preserve">Centro Metalmecánico</t>
  </si>
  <si>
    <t xml:space="preserve">Manuel Guillermo Acero Gutierrez</t>
  </si>
  <si>
    <t>mgacerog@sena.edu.co</t>
  </si>
  <si>
    <t>25C</t>
  </si>
  <si>
    <t xml:space="preserve">Centro Nacional De Hotelería, Turismo Y Alimentos - Complejo Paloquemao</t>
  </si>
  <si>
    <t xml:space="preserve">07:00 A 17:00</t>
  </si>
  <si>
    <t xml:space="preserve">Yefer Ivan Auzaque Leon</t>
  </si>
  <si>
    <t>yiauzaque@sena.edu.co</t>
  </si>
  <si>
    <t>25B</t>
  </si>
  <si>
    <t xml:space="preserve">Centro Para La Industria De La Comunicación Gráfica - Complejo Paloquemao</t>
  </si>
  <si>
    <t xml:space="preserve">No hay líder TIC</t>
  </si>
  <si>
    <t xml:space="preserve">Colegio De La Bici</t>
  </si>
  <si>
    <t xml:space="preserve">Carrera 81A # 58J - 45 Sur</t>
  </si>
  <si>
    <t xml:space="preserve">6:00 - 18:00</t>
  </si>
  <si>
    <t>Comodato</t>
  </si>
  <si>
    <t>2019-11-29T05:00:00.000Z</t>
  </si>
  <si>
    <t>2022-11-29T04:59:59.000Z</t>
  </si>
  <si>
    <t xml:space="preserve">Dirección General</t>
  </si>
  <si>
    <t xml:space="preserve">Escuela De Instructores</t>
  </si>
  <si>
    <t xml:space="preserve">Cr 17 No.  39 A-30</t>
  </si>
  <si>
    <t xml:space="preserve">Suspendida Total</t>
  </si>
  <si>
    <t xml:space="preserve">Hernan Villa Cardona </t>
  </si>
  <si>
    <t>hvilla@sena.edu.co</t>
  </si>
  <si>
    <t xml:space="preserve">311 4973371</t>
  </si>
  <si>
    <t xml:space="preserve">Instituto Colombiano de Aprendizaje INCAP- Sede Centro</t>
  </si>
  <si>
    <t xml:space="preserve">Cra. 5 # 20-64</t>
  </si>
  <si>
    <t xml:space="preserve">Subsede SSTIC</t>
  </si>
  <si>
    <t xml:space="preserve">8:00 - 13:00</t>
  </si>
  <si>
    <t>2023-02-06T05:00:00.000Z</t>
  </si>
  <si>
    <t>2023-12-05T04:59:59.000Z</t>
  </si>
  <si>
    <t>Cundinamarca</t>
  </si>
  <si>
    <t xml:space="preserve">Regional Cundinamarca</t>
  </si>
  <si>
    <t xml:space="preserve">Diagonal 45D No. 19 – 72</t>
  </si>
  <si>
    <t xml:space="preserve">Wilson Triana Bolaños</t>
  </si>
  <si>
    <t>wtrianab@sena.edu.co</t>
  </si>
  <si>
    <t xml:space="preserve">Regional Distrito Capital</t>
  </si>
  <si>
    <t xml:space="preserve">Martha Ruby Badillo Mesa</t>
  </si>
  <si>
    <t>mrbadillo@sena.edu.co</t>
  </si>
  <si>
    <t xml:space="preserve">Sede - Fontibón</t>
  </si>
  <si>
    <t xml:space="preserve">Calle 19 A No. 96 C 32</t>
  </si>
  <si>
    <t xml:space="preserve">Recibido sin contraprestación</t>
  </si>
  <si>
    <t xml:space="preserve">Sede - Meissen</t>
  </si>
  <si>
    <t xml:space="preserve">Carrera 18 B No. 62 - 28 Sur</t>
  </si>
  <si>
    <t xml:space="preserve">Sede - Usme</t>
  </si>
  <si>
    <t xml:space="preserve">Calle 91 Sur No. 01 B - 10 Este</t>
  </si>
  <si>
    <t xml:space="preserve">Sede Álamos - Plantas Agroindustriales</t>
  </si>
  <si>
    <t xml:space="preserve">Carrera 89A No. 64C - 33</t>
  </si>
  <si>
    <t xml:space="preserve">Sede Colon - Sintrasena</t>
  </si>
  <si>
    <t xml:space="preserve">Cra 13 No. 13-17 Edificio Colón Piso 12 Ofi. 1201</t>
  </si>
  <si>
    <t xml:space="preserve">350 7235500</t>
  </si>
  <si>
    <t xml:space="preserve">Sede Prial</t>
  </si>
  <si>
    <t xml:space="preserve">Carrera 32 No. 14 - 25</t>
  </si>
  <si>
    <t xml:space="preserve">06:00 A 12:00</t>
  </si>
  <si>
    <t xml:space="preserve">Sede San Antonio</t>
  </si>
  <si>
    <t xml:space="preserve">Carrera 18 No 2A-18 Sur</t>
  </si>
  <si>
    <t xml:space="preserve">Servicio Médico Asistencial</t>
  </si>
  <si>
    <t xml:space="preserve">Diagonal 39 A Bis No.14 – 76 Teusaquillo</t>
  </si>
  <si>
    <t xml:space="preserve">Dirección Administrativa Y Financiera</t>
  </si>
  <si>
    <t>Sindesena</t>
  </si>
  <si>
    <t xml:space="preserve">Carrera 7 No. 34 - 56</t>
  </si>
  <si>
    <t xml:space="preserve">Subsede Centro de Servicios Financieros</t>
  </si>
  <si>
    <t xml:space="preserve">Carrera 57C # 64A-29</t>
  </si>
  <si>
    <t>6:00-22:00</t>
  </si>
  <si>
    <t>6:00-18:00</t>
  </si>
  <si>
    <t xml:space="preserve">Mireya Parra Pinto</t>
  </si>
  <si>
    <t xml:space="preserve">miparrap@sena.edu.co
</t>
  </si>
  <si>
    <t>2022-08-25T05:00:00.000Z</t>
  </si>
  <si>
    <t>2023-12-22T04:59:59.000Z</t>
  </si>
  <si>
    <t xml:space="preserve">Subsede Centro de  formación en actividad física y cultura - UNIGERMANA</t>
  </si>
  <si>
    <t xml:space="preserve">Avenida Caracas # 63 – 87</t>
  </si>
  <si>
    <t>macareth@sena.edu.co</t>
  </si>
  <si>
    <t>2022-08-04T05:00:00.000Z</t>
  </si>
  <si>
    <t>2022-12-20T04:59:59.000Z</t>
  </si>
  <si>
    <t xml:space="preserve">Subsede INESCO</t>
  </si>
  <si>
    <t xml:space="preserve">Carrera 13 No. 42-19</t>
  </si>
  <si>
    <t xml:space="preserve">6:00 - 22:00</t>
  </si>
  <si>
    <t xml:space="preserve">Juan Francisco Gonzalez Vidal</t>
  </si>
  <si>
    <t>jfgonzalezv@sena.edu.co</t>
  </si>
  <si>
    <t xml:space="preserve">302 3866104</t>
  </si>
  <si>
    <t>2021-07-09T05:00:00.000Z</t>
  </si>
  <si>
    <t>2023-12-18T04:59:59.000Z</t>
  </si>
  <si>
    <t xml:space="preserve">Tecnoparque Colombia Nodo Bogotá</t>
  </si>
  <si>
    <t xml:space="preserve">Calle 54 No. 10 - 39</t>
  </si>
  <si>
    <t xml:space="preserve">Diomedes Moreno Tique </t>
  </si>
  <si>
    <t>dimoreno@sena.edu.co</t>
  </si>
  <si>
    <t xml:space="preserve">Unihorizonte- Fundación Universitaria Horizonte</t>
  </si>
  <si>
    <t xml:space="preserve">Calle 69 Nº14-30</t>
  </si>
  <si>
    <t>2022-02-02T05:00:00.000Z</t>
  </si>
  <si>
    <t>2022-11-30T04:59:59.000Z</t>
  </si>
  <si>
    <t>Bosconia</t>
  </si>
  <si>
    <t xml:space="preserve">Sede Bosconia</t>
  </si>
  <si>
    <t xml:space="preserve">Carrera 14A No. 20-04</t>
  </si>
  <si>
    <t xml:space="preserve">Gilberto Dulcey Caballero</t>
  </si>
  <si>
    <t>gdulcey@sena.edu.co</t>
  </si>
  <si>
    <t>Bucaramanga</t>
  </si>
  <si>
    <t xml:space="preserve">Agencia Pública De Empleo</t>
  </si>
  <si>
    <t xml:space="preserve">Carrera 27 N° 20-45</t>
  </si>
  <si>
    <t xml:space="preserve">07:30 A 16:30</t>
  </si>
  <si>
    <t xml:space="preserve">Rafael Antonio Navarro Martinez</t>
  </si>
  <si>
    <t>rnavarro@sena.edu.co</t>
  </si>
  <si>
    <t>73748/73048</t>
  </si>
  <si>
    <t xml:space="preserve">Centro De Servicios Empresariales Y Turísticos</t>
  </si>
  <si>
    <t xml:space="preserve">Carrera 27 No. 42 - 68</t>
  </si>
  <si>
    <t>Na</t>
  </si>
  <si>
    <t>na</t>
  </si>
  <si>
    <t>137A</t>
  </si>
  <si>
    <t xml:space="preserve">Centro de Servicios Empresariales y Turísticos</t>
  </si>
  <si>
    <t xml:space="preserve">Carrera 27 # 15-07 Barrio San Alonso</t>
  </si>
  <si>
    <t xml:space="preserve">Centro de Formación</t>
  </si>
  <si>
    <t xml:space="preserve">8:00 - 17:00</t>
  </si>
  <si>
    <t xml:space="preserve">Elkin Javier Mendoza Ardila</t>
  </si>
  <si>
    <t>ejmendoza@sena.edu.co</t>
  </si>
  <si>
    <t xml:space="preserve">Regional Santander</t>
  </si>
  <si>
    <t xml:space="preserve">Calle 16 No. 27-37</t>
  </si>
  <si>
    <t xml:space="preserve">07:30 A 18:00</t>
  </si>
  <si>
    <t xml:space="preserve">08:00 A 13:00</t>
  </si>
  <si>
    <t xml:space="preserve">Rafael Antonio Navarro Martínez</t>
  </si>
  <si>
    <t xml:space="preserve">Sede Ased</t>
  </si>
  <si>
    <t xml:space="preserve">Carrera 27 No. 19 – 40 Barrio San Alonso</t>
  </si>
  <si>
    <t xml:space="preserve">Elkin Javier Mendoza Ardila </t>
  </si>
  <si>
    <t>315-373-2432</t>
  </si>
  <si>
    <t xml:space="preserve">Sede Salud</t>
  </si>
  <si>
    <t xml:space="preserve">Calle 45 No. 11 - 52 Antiguo Hospital San Juan De Dios</t>
  </si>
  <si>
    <t xml:space="preserve">Carrera 20 N° 36-63</t>
  </si>
  <si>
    <t xml:space="preserve">07:30 A 17:00</t>
  </si>
  <si>
    <t>Subsede</t>
  </si>
  <si>
    <t xml:space="preserve">Cl 45 # 11-12</t>
  </si>
  <si>
    <t xml:space="preserve">Cl 16 # 23-37 # 11-12</t>
  </si>
  <si>
    <t xml:space="preserve">Tecnoacademia Bucaramanga</t>
  </si>
  <si>
    <t xml:space="preserve">Diaginal 25 Sur # 22-60 Barrio Ciudadela Nuevo Giron</t>
  </si>
  <si>
    <t xml:space="preserve">Lubing Oswaldo Contreras Sandoval</t>
  </si>
  <si>
    <t>locontreras@sena.edu.co</t>
  </si>
  <si>
    <t>2021-12-30T04:59:59.000Z</t>
  </si>
  <si>
    <t xml:space="preserve">Tecnoparque Bucaramanga</t>
  </si>
  <si>
    <t xml:space="preserve">Calle 48 # 28-40</t>
  </si>
  <si>
    <t>7:00-18:00</t>
  </si>
  <si>
    <t>2021-03-03T05:00:00.000Z</t>
  </si>
  <si>
    <t xml:space="preserve">Unidad De Correspondencia Archivo Central</t>
  </si>
  <si>
    <t xml:space="preserve">Carrera 15 N° 19-26</t>
  </si>
  <si>
    <t xml:space="preserve">Valle </t>
  </si>
  <si>
    <t>Buenaventura</t>
  </si>
  <si>
    <t xml:space="preserve">Centro Náutico Pesquero de Buenaventura</t>
  </si>
  <si>
    <t xml:space="preserve">Avenida Simón Bolivar Kilómetro 5</t>
  </si>
  <si>
    <t xml:space="preserve">7:00 - 22:00</t>
  </si>
  <si>
    <t>8:00-16:00</t>
  </si>
  <si>
    <t xml:space="preserve">Emeterio Cuero Ocoro</t>
  </si>
  <si>
    <t>ecueroo@sena.edu.co</t>
  </si>
  <si>
    <t>Valle</t>
  </si>
  <si>
    <t xml:space="preserve">Sede Centro Náutico Pesquero De Buenaventura</t>
  </si>
  <si>
    <t xml:space="preserve">Centro Comercial Viva Buenaventura- Éxito Local 001B Primer Piso Calle 2 No.66-86 Kilómetro 11 Avenida Simón Bolívar</t>
  </si>
  <si>
    <t>2022-01-01T05:00:00.000Z</t>
  </si>
  <si>
    <t>2022-01-01T04:59:59.000Z</t>
  </si>
  <si>
    <t>Buga</t>
  </si>
  <si>
    <t xml:space="preserve">Centro Agropecuario De Buga</t>
  </si>
  <si>
    <t xml:space="preserve">Carretera Central Variante Buga - Tulúa</t>
  </si>
  <si>
    <t xml:space="preserve">Hugo Fernando Latorre Muñoz</t>
  </si>
  <si>
    <t>hlatorre@sena.edu.co</t>
  </si>
  <si>
    <t>Cajicá</t>
  </si>
  <si>
    <t xml:space="preserve">Sede - Cajicá</t>
  </si>
  <si>
    <t xml:space="preserve">Kilómetro 2 Vía Cajica –  Tabio. Politécnico Gran Sabana</t>
  </si>
  <si>
    <t xml:space="preserve">Oscar Castro Fuentes</t>
  </si>
  <si>
    <t>ocastrof@sena.edu.co</t>
  </si>
  <si>
    <t xml:space="preserve">+57 313 2766918</t>
  </si>
  <si>
    <t>Caldas</t>
  </si>
  <si>
    <t xml:space="preserve">Centro De Los Recursos Naturales Renovables - La Salada</t>
  </si>
  <si>
    <t xml:space="preserve">Km 6 Vía Caldas, La Pintada Antioquia</t>
  </si>
  <si>
    <t xml:space="preserve">08:00 A 17:00</t>
  </si>
  <si>
    <t xml:space="preserve">Maria Alejandra Villa Gallego</t>
  </si>
  <si>
    <t>mvillag@sena.edu.co</t>
  </si>
  <si>
    <t>158B</t>
  </si>
  <si>
    <t>Cali</t>
  </si>
  <si>
    <t xml:space="preserve">Centro De Diseño Tecnológico Industrial - Complejo Salomia</t>
  </si>
  <si>
    <t xml:space="preserve">Calle 52 No. 2 Bis 15</t>
  </si>
  <si>
    <t xml:space="preserve">08:00 A 18:00</t>
  </si>
  <si>
    <t xml:space="preserve">Jose Robinson Triviño Gonzalez </t>
  </si>
  <si>
    <t>robinson.trivino@sena.edu.co</t>
  </si>
  <si>
    <t>322-623-3782</t>
  </si>
  <si>
    <t xml:space="preserve">Centro De Diseño Tecnológico Industrial –C.D.T.I. El Pondaje</t>
  </si>
  <si>
    <t xml:space="preserve">Kilómetro 26 J – Diagonal 72 Farol, El Laguito. Cali - Valle</t>
  </si>
  <si>
    <t>158A</t>
  </si>
  <si>
    <t xml:space="preserve">Centro De Electricidad Y Automatización Industrial - Ceai - Complejo Salomia</t>
  </si>
  <si>
    <t xml:space="preserve">Ramiro Ramirez Hernandez</t>
  </si>
  <si>
    <t>rramirezh@sena.edu.co</t>
  </si>
  <si>
    <t>304-336-9377</t>
  </si>
  <si>
    <t>158D</t>
  </si>
  <si>
    <t xml:space="preserve">Centro De Gestión Tecnológica De Servicios -Cgts - Complejo Salomia</t>
  </si>
  <si>
    <t xml:space="preserve">Edwin Piedrahita Mesa</t>
  </si>
  <si>
    <t>epiedrahita@sena.edu.co</t>
  </si>
  <si>
    <t xml:space="preserve">Centro De La Construcción</t>
  </si>
  <si>
    <t xml:space="preserve">Calle 34 No. 17 B 23</t>
  </si>
  <si>
    <t xml:space="preserve">08:00 A 22:00</t>
  </si>
  <si>
    <t xml:space="preserve">Jorge Luis Florez Benavides</t>
  </si>
  <si>
    <t>jlflorez@sena.edu.co</t>
  </si>
  <si>
    <t>318-589-4357</t>
  </si>
  <si>
    <t>158C</t>
  </si>
  <si>
    <t xml:space="preserve">Centro Nacional De Asistencia Técnica A La Industria - Astin - Complejo Salomia</t>
  </si>
  <si>
    <t xml:space="preserve">7:00 A 21:00</t>
  </si>
  <si>
    <t xml:space="preserve">Efrain Diaz Mendez</t>
  </si>
  <si>
    <t>ediazm@sena.edu.co</t>
  </si>
  <si>
    <t xml:space="preserve">Complejo Salomia- Administrativa</t>
  </si>
  <si>
    <t xml:space="preserve">Calle 26 Norte No 6N-16 Santa monica </t>
  </si>
  <si>
    <t xml:space="preserve">8:00 - 16:00</t>
  </si>
  <si>
    <t xml:space="preserve">Jhon Jairo Leal Flórez</t>
  </si>
  <si>
    <t>jjleal@sena.edu.co</t>
  </si>
  <si>
    <t>2022-10-01T05:00:00.000Z</t>
  </si>
  <si>
    <t>2022-12-31T04:59:59.000Z</t>
  </si>
  <si>
    <t xml:space="preserve">Edificio Administrativo de la Regional del Valle Avenida 6ta</t>
  </si>
  <si>
    <t xml:space="preserve">Calle 26 # 6 N 16 barrio Santa Mónica </t>
  </si>
  <si>
    <t xml:space="preserve">8:00 -17:00</t>
  </si>
  <si>
    <t xml:space="preserve">Carlos Alberto molina Diaz</t>
  </si>
  <si>
    <t>camolina@sena.edu.co</t>
  </si>
  <si>
    <t>2023-23-01T05:00:00.000Z</t>
  </si>
  <si>
    <t>2024-12-31T04:59:59.000Z</t>
  </si>
  <si>
    <t xml:space="preserve">Regional Valle</t>
  </si>
  <si>
    <t xml:space="preserve">Carlos Alberto Molina Diaz</t>
  </si>
  <si>
    <t>311-367-7636</t>
  </si>
  <si>
    <t xml:space="preserve">Sede Alameda Centro De Electricidad Y Automatización Industrial</t>
  </si>
  <si>
    <t xml:space="preserve">Carrera 24 No. 6ª – 24</t>
  </si>
  <si>
    <t xml:space="preserve">Ramiro Ramirez Hernandez	</t>
  </si>
  <si>
    <t xml:space="preserve">Sede Bretaña - Ceai</t>
  </si>
  <si>
    <t xml:space="preserve">Cra 20 # 9E-39 Barrio Bretaña</t>
  </si>
  <si>
    <t xml:space="preserve">Sede Escuela Gastronómica Del Centro De Gestión Tecnológica De Servicios</t>
  </si>
  <si>
    <t xml:space="preserve">Calle 14 No. 9A - 45 Norte</t>
  </si>
  <si>
    <t xml:space="preserve">Edwin Piedrahita mesa </t>
  </si>
  <si>
    <t xml:space="preserve">Sede Norte - CEAI</t>
  </si>
  <si>
    <t xml:space="preserve">CRA 3 NORTE CON CALLE 54 </t>
  </si>
  <si>
    <t>SSTIC</t>
  </si>
  <si>
    <t>7:00-22:00</t>
  </si>
  <si>
    <t>2022-01-25T05:00:00.000Z</t>
  </si>
  <si>
    <t>2022-12-30T04:59:59.000Z</t>
  </si>
  <si>
    <t xml:space="preserve">Spe Cali</t>
  </si>
  <si>
    <t xml:space="preserve">Calle 23 Norte No. 2N - 38. Ubicación Temporal: Carrera 19 No. 9E - 44</t>
  </si>
  <si>
    <t xml:space="preserve">Tecnoparque Colombia Plaza Caicedo</t>
  </si>
  <si>
    <t xml:space="preserve">Carrera 5 No. 11 - 58, Pisos 2 Al 8 </t>
  </si>
  <si>
    <t>Huila</t>
  </si>
  <si>
    <t>Campoalegre</t>
  </si>
  <si>
    <t xml:space="preserve">Centro De Formación Agroindustrial</t>
  </si>
  <si>
    <t xml:space="preserve">Km. 38 Via Al Sur De Neiva</t>
  </si>
  <si>
    <t xml:space="preserve">07:00 A 16:30</t>
  </si>
  <si>
    <t>44A</t>
  </si>
  <si>
    <t>Bolivar</t>
  </si>
  <si>
    <t>Cartagena</t>
  </si>
  <si>
    <t xml:space="preserve">Centro Agroempresarial Y Minero</t>
  </si>
  <si>
    <t xml:space="preserve">Ternera Km 1 Vía Turbaco </t>
  </si>
  <si>
    <t xml:space="preserve">08:00 A 16:00</t>
  </si>
  <si>
    <t xml:space="preserve">Caterine Baños</t>
  </si>
  <si>
    <t>cbanoso@sena.edu.co</t>
  </si>
  <si>
    <t xml:space="preserve">301 4700734</t>
  </si>
  <si>
    <t>44B</t>
  </si>
  <si>
    <t xml:space="preserve">Ternera Km 1 Vía Turbaco</t>
  </si>
  <si>
    <t xml:space="preserve">Centro Internacional Náutico, Fluvial Y Portuario</t>
  </si>
  <si>
    <t xml:space="preserve">Zona Industrial De Mamonal Km 5 </t>
  </si>
  <si>
    <t xml:space="preserve">Ramon Romero Solano</t>
  </si>
  <si>
    <t>rromero@sena.edu.co</t>
  </si>
  <si>
    <t>300-856-8434</t>
  </si>
  <si>
    <t xml:space="preserve">Centro Para La Industria Petroquímica</t>
  </si>
  <si>
    <t xml:space="preserve">Avenida Pedro De Heredia, Sector Tesca</t>
  </si>
  <si>
    <t xml:space="preserve">Manuel Alejandro Cogollo Bedoya</t>
  </si>
  <si>
    <t>macogollo@sena.edu.co</t>
  </si>
  <si>
    <t xml:space="preserve">Regional Bolívar</t>
  </si>
  <si>
    <t xml:space="preserve">Sede Casa Del Marqués</t>
  </si>
  <si>
    <t xml:space="preserve">Plaza De La Aduana, Cartagena - Bolívar</t>
  </si>
  <si>
    <t xml:space="preserve">Calle 31A # 46 -13</t>
  </si>
  <si>
    <t>Cartago</t>
  </si>
  <si>
    <t xml:space="preserve">Centro De Tecnologías Agroindustriales</t>
  </si>
  <si>
    <t xml:space="preserve">Carrera 9 No. 12 -141</t>
  </si>
  <si>
    <t xml:space="preserve">08:00 A 19:00</t>
  </si>
  <si>
    <t xml:space="preserve">Jose Alexander Alzate López</t>
  </si>
  <si>
    <t>jaalzate@sena.edu.co</t>
  </si>
  <si>
    <t>Caucasia</t>
  </si>
  <si>
    <t xml:space="preserve">Complejo Tecnológico Para La Gestión Agroempresarial</t>
  </si>
  <si>
    <t xml:space="preserve">Transversal 16 Nº 33-102, Barrio El Bosque</t>
  </si>
  <si>
    <t xml:space="preserve">Alvaro Sanchez Uribe</t>
  </si>
  <si>
    <t>alsanchezu@sena.edu.co</t>
  </si>
  <si>
    <t>Chía</t>
  </si>
  <si>
    <t xml:space="preserve">Centro De Desarrollo Agroempresarial</t>
  </si>
  <si>
    <t xml:space="preserve">Vereda Bojacá Carrera 11 Sector El Darien Lote 1 Chia</t>
  </si>
  <si>
    <t xml:space="preserve">06:00 A 23:00</t>
  </si>
  <si>
    <t>Chimichagua</t>
  </si>
  <si>
    <t xml:space="preserve">Sede Chimichagua</t>
  </si>
  <si>
    <t xml:space="preserve">Sector Chambacú, Barrio Villa Esther</t>
  </si>
  <si>
    <t>Chinchiná</t>
  </si>
  <si>
    <t xml:space="preserve">Sede Chinchiná</t>
  </si>
  <si>
    <t xml:space="preserve">Cra 6 # 8-35</t>
  </si>
  <si>
    <t xml:space="preserve">Paula Juliana Bernal Echeverry</t>
  </si>
  <si>
    <t>pbernal@sena.edu.co</t>
  </si>
  <si>
    <t>Boyacá</t>
  </si>
  <si>
    <t>Chiquinquirá</t>
  </si>
  <si>
    <t xml:space="preserve">Sede Chiquinquirá</t>
  </si>
  <si>
    <t xml:space="preserve">Carrera 8A No14-64</t>
  </si>
  <si>
    <t xml:space="preserve">Fredy Alexander Ascencio</t>
  </si>
  <si>
    <t>fascencioc@sena.edu.co</t>
  </si>
  <si>
    <t>Chiriguana</t>
  </si>
  <si>
    <t xml:space="preserve">Sede Chiriguana</t>
  </si>
  <si>
    <t xml:space="preserve">Barrio El Senado.</t>
  </si>
  <si>
    <t>Magdalena</t>
  </si>
  <si>
    <t>Ciénaga</t>
  </si>
  <si>
    <t xml:space="preserve">Ciénaga - Centro De Logística Y Promoción Ecoturística Del Magdalena</t>
  </si>
  <si>
    <t xml:space="preserve">Carrera 8 No. 7 - 06</t>
  </si>
  <si>
    <t xml:space="preserve">Yulys Edelsy Vesga Acosta</t>
  </si>
  <si>
    <t>yvesga@sena.edu.co</t>
  </si>
  <si>
    <t>Cimitarra</t>
  </si>
  <si>
    <t xml:space="preserve">Calle 8 No. 2 Este Par - Avenida Las Cuadras</t>
  </si>
  <si>
    <t xml:space="preserve">Yasmin Ardila Santamaria</t>
  </si>
  <si>
    <t>yardila@sena.edu.co</t>
  </si>
  <si>
    <t>Cisneros</t>
  </si>
  <si>
    <t xml:space="preserve">Sede Cisneros</t>
  </si>
  <si>
    <t xml:space="preserve">Calle 18 No. 17-61</t>
  </si>
  <si>
    <t xml:space="preserve">Oscar Ivan Naranjo Florez</t>
  </si>
  <si>
    <t>oinaranjof@sena.edu.co</t>
  </si>
  <si>
    <t>Cocorná</t>
  </si>
  <si>
    <t xml:space="preserve">Sede Cocorná</t>
  </si>
  <si>
    <t xml:space="preserve">Carrera 21 No. 19 – 34 Parque Educativo Renacer</t>
  </si>
  <si>
    <t xml:space="preserve">07:00 A 21:00</t>
  </si>
  <si>
    <t xml:space="preserve">Sandra Ines Alzate Agudelo</t>
  </si>
  <si>
    <t>salzatea@sena.edu.co</t>
  </si>
  <si>
    <t>301-575-2454</t>
  </si>
  <si>
    <t>Cogua</t>
  </si>
  <si>
    <t xml:space="preserve">Subsede </t>
  </si>
  <si>
    <t xml:space="preserve">Calle 3 No. 9-34</t>
  </si>
  <si>
    <t xml:space="preserve">Cerrada  Por Convenios Con Las Alcaldías Municipales, Por Temas De Pandemia Esta Sedes Han Sido Cerradas Hasta Que Autoricen El Retorno A La Presencialidad</t>
  </si>
  <si>
    <t xml:space="preserve">Oscar Javier Leon</t>
  </si>
  <si>
    <t>oleon@sena.edu.co</t>
  </si>
  <si>
    <t>Sucre</t>
  </si>
  <si>
    <t>Corozal</t>
  </si>
  <si>
    <t xml:space="preserve">Sede Corozal</t>
  </si>
  <si>
    <t xml:space="preserve">Carrera 26 No. 26-11 Barrio San Jose</t>
  </si>
  <si>
    <t xml:space="preserve">Jaime Carlos Solano Lastre</t>
  </si>
  <si>
    <t>jsolano@sena.edu.co</t>
  </si>
  <si>
    <t>312-313-8629</t>
  </si>
  <si>
    <t>127A</t>
  </si>
  <si>
    <t xml:space="preserve">Norte De Santander</t>
  </si>
  <si>
    <t>Cúcuta</t>
  </si>
  <si>
    <t xml:space="preserve">Centro De Formación Para El Desarrollo Rural Y Minero-Cedrum </t>
  </si>
  <si>
    <t xml:space="preserve">Calle 2N  Avenidas 4Y5 Pescadero</t>
  </si>
  <si>
    <t xml:space="preserve">Luis Alejandro Heredia Peña</t>
  </si>
  <si>
    <t>laheredia@sena.edu.co</t>
  </si>
  <si>
    <t>127B</t>
  </si>
  <si>
    <t xml:space="preserve">Centro De La Industria, La Empresa Y Los Servicios</t>
  </si>
  <si>
    <t xml:space="preserve">Regional Norte De Santander</t>
  </si>
  <si>
    <t xml:space="preserve">Regional Norte De Santander - Bloque Formación Pescadero</t>
  </si>
  <si>
    <t xml:space="preserve">Calle 2N Con Avenida 3 Y 4 – Barrio Pescadero</t>
  </si>
  <si>
    <t xml:space="preserve">Sede Centro De Calzado</t>
  </si>
  <si>
    <t xml:space="preserve">Av. 5 Calle 18 An Zona Industrial</t>
  </si>
  <si>
    <t xml:space="preserve">Sede Confecciones Y Madera - Comuneros</t>
  </si>
  <si>
    <t xml:space="preserve">Calle 3 No. 6-48 Barrio Comuneros</t>
  </si>
  <si>
    <t xml:space="preserve">Norte de Santander</t>
  </si>
  <si>
    <t xml:space="preserve">Subsede Agropecuaria El Zulia</t>
  </si>
  <si>
    <t xml:space="preserve">Av 5 Calle 13 y 14  Granja Las Piedras </t>
  </si>
  <si>
    <t xml:space="preserve">8:00 - 18:00</t>
  </si>
  <si>
    <t>72575/72710</t>
  </si>
  <si>
    <t xml:space="preserve">Tecnoparque Y Tecnoacademia Cúcuta</t>
  </si>
  <si>
    <t xml:space="preserve">Avenida Canal Bogotá # 1N-30 Barrio Pescadero - Cúcuta</t>
  </si>
  <si>
    <t>Vichada</t>
  </si>
  <si>
    <t>Cumaribo</t>
  </si>
  <si>
    <t xml:space="preserve">Aula Itinerante - Cumaribo</t>
  </si>
  <si>
    <t xml:space="preserve">Municipio De Cumaribo - Vichada</t>
  </si>
  <si>
    <t xml:space="preserve">Jhonatan Martinez</t>
  </si>
  <si>
    <t>jgmartinez@sena.edu.co</t>
  </si>
  <si>
    <t xml:space="preserve">310 8712803</t>
  </si>
  <si>
    <t>Curumaní</t>
  </si>
  <si>
    <t xml:space="preserve">Sede Curumani</t>
  </si>
  <si>
    <t xml:space="preserve">Calle 4 No. 20-33 Barrio Camilo Torres.</t>
  </si>
  <si>
    <t xml:space="preserve">Dirección General-Despacho</t>
  </si>
  <si>
    <t xml:space="preserve">Calle 57 # 8-69</t>
  </si>
  <si>
    <t xml:space="preserve">06:00 A 20:00</t>
  </si>
  <si>
    <t xml:space="preserve">Dirección General-Dirección administrativa y financiera</t>
  </si>
  <si>
    <t xml:space="preserve">Dirección General-Dirección de empleo y trabajo</t>
  </si>
  <si>
    <t xml:space="preserve">Dirección General-Dirección de formación profesional</t>
  </si>
  <si>
    <t xml:space="preserve">Dirección General-Dirección de planeación y direccionamiento corporativo</t>
  </si>
  <si>
    <t xml:space="preserve">Dirección General-Dirección de promoción y relaciones corporativas</t>
  </si>
  <si>
    <t xml:space="preserve">Dirección General-Dirección jurídica</t>
  </si>
  <si>
    <t xml:space="preserve">Dirección General-Dirección sistema nacional de formación para el trabajo</t>
  </si>
  <si>
    <t xml:space="preserve">Dirección General-Oficina de comunicaciones</t>
  </si>
  <si>
    <t xml:space="preserve">Dirección General-Oficina de control interno</t>
  </si>
  <si>
    <t xml:space="preserve">Dirección General-Oficina de control interno disciplinario</t>
  </si>
  <si>
    <t xml:space="preserve">Dirección General-Oficina de sistemas</t>
  </si>
  <si>
    <t xml:space="preserve">Dirección General-Secretaría general</t>
  </si>
  <si>
    <t>Risaralda</t>
  </si>
  <si>
    <t xml:space="preserve">Dos Quebradas</t>
  </si>
  <si>
    <t xml:space="preserve">Centro De Diseño E Innovación Tecnológica Industrial</t>
  </si>
  <si>
    <t xml:space="preserve">Transversal 7 Calle 26 Barrio Santa Isabel</t>
  </si>
  <si>
    <t xml:space="preserve">Pedro Nel Vargas Mendieta</t>
  </si>
  <si>
    <t>pvargasme@sena.edu.co</t>
  </si>
  <si>
    <t xml:space="preserve">Tecnoacademia Dosquebradas</t>
  </si>
  <si>
    <t xml:space="preserve">Colegio Manuel Elkin Patarroyo Comuna 9 Barrio Cesar Augusto Lopez Calle 73Bis Con Carrera 21</t>
  </si>
  <si>
    <t xml:space="preserve">Jhon Alexis Cardenas Marin</t>
  </si>
  <si>
    <t>jacardenasm@sena.edu.co</t>
  </si>
  <si>
    <t>Duitama</t>
  </si>
  <si>
    <t xml:space="preserve">Centro De Desarrollo Agropecuario Y Agroindustrial</t>
  </si>
  <si>
    <t xml:space="preserve">Kilómetro 1 Vía Duitama - Pantano De Vargas</t>
  </si>
  <si>
    <t xml:space="preserve">07:00 A 24:00</t>
  </si>
  <si>
    <t xml:space="preserve">Edwin Fabian Acuña</t>
  </si>
  <si>
    <t>efacunar@sena.edu.co</t>
  </si>
  <si>
    <t xml:space="preserve">Sede Duitama - Ciudadela Industrial</t>
  </si>
  <si>
    <t xml:space="preserve">Ciudadela Industrial (Espacio Del Sena)</t>
  </si>
  <si>
    <t xml:space="preserve">El Bagre</t>
  </si>
  <si>
    <t xml:space="preserve">Centro De Formación Minero Ambiental (El Bagre)</t>
  </si>
  <si>
    <t xml:space="preserve">Colegio Diocesano Nuestra Señora Del Carmen (Sector Los Álamos)</t>
  </si>
  <si>
    <t xml:space="preserve">Deivis David Sierra Lopez</t>
  </si>
  <si>
    <t>ddsierra@sena.edu.co</t>
  </si>
  <si>
    <t xml:space="preserve">Sede Centro De Formación Minero Ambiental</t>
  </si>
  <si>
    <t xml:space="preserve">Municipio El Bagre En El Sector Conocido Como Los “ Comodatos De Arriba”  Via Zaragoza</t>
  </si>
  <si>
    <t>Tolima</t>
  </si>
  <si>
    <t>Espinal</t>
  </si>
  <si>
    <t xml:space="preserve">Centro Agropecuario La Granja</t>
  </si>
  <si>
    <t xml:space="preserve">Kilometro 5 Via Panamericana Espinal Ibague - Costado Oriental</t>
  </si>
  <si>
    <t xml:space="preserve">Jaime Torres Serrano</t>
  </si>
  <si>
    <t>jaimetorres@sena.edu.co</t>
  </si>
  <si>
    <t xml:space="preserve">Escuela Postcosecha, Frutas Y Hortalizas</t>
  </si>
  <si>
    <t>63A</t>
  </si>
  <si>
    <t>Caquetá</t>
  </si>
  <si>
    <t>Florencia</t>
  </si>
  <si>
    <t xml:space="preserve">Centro Tecnológico De La Amazonía</t>
  </si>
  <si>
    <t xml:space="preserve">Cra 14 # 5B-60 Barrio Juan Xxiii</t>
  </si>
  <si>
    <t xml:space="preserve">07:00 A 19:30</t>
  </si>
  <si>
    <t xml:space="preserve">Silvio Trujillo </t>
  </si>
  <si>
    <t>strujillo@sena.edu.co</t>
  </si>
  <si>
    <t>2021-02-25T05:00:00.000Z</t>
  </si>
  <si>
    <t xml:space="preserve">Centro Tecnológico De La Amazonia </t>
  </si>
  <si>
    <t xml:space="preserve">Km 3 Vía Aeropuerto</t>
  </si>
  <si>
    <t xml:space="preserve">6am a 1pm  y  de  2pm a 10pm  Formación 7am a 12pm  y  de  2pm a 6pm  Administrativo</t>
  </si>
  <si>
    <t xml:space="preserve">Granja Ceilan</t>
  </si>
  <si>
    <t xml:space="preserve">Km10 Via A Morelia, Vereda La Muchilero</t>
  </si>
  <si>
    <t>8:00-18:00</t>
  </si>
  <si>
    <t xml:space="preserve">Regional Caquetá</t>
  </si>
  <si>
    <t xml:space="preserve">Carrera 14  No 5B – 56 Barrio Juan Xxiii  Tel.: +57 (8) 437 4791</t>
  </si>
  <si>
    <t>Floridablanca</t>
  </si>
  <si>
    <t xml:space="preserve">Centro Industrial Del Diseño Y La Manufactura</t>
  </si>
  <si>
    <t xml:space="preserve">K6 Autopista A Floridablanca N 55-33</t>
  </si>
  <si>
    <t>Guajira</t>
  </si>
  <si>
    <t>Fonseca</t>
  </si>
  <si>
    <t xml:space="preserve">Centro Agroempresarial Y Acuícola Sede Fonseca</t>
  </si>
  <si>
    <t xml:space="preserve">Km 1 Vía Barrancas</t>
  </si>
  <si>
    <t xml:space="preserve">Hebert Saul Peñaranda figuroa</t>
  </si>
  <si>
    <t>hpenaranda@sena.edu.co</t>
  </si>
  <si>
    <t>Fundación</t>
  </si>
  <si>
    <t xml:space="preserve">Sede Fundación</t>
  </si>
  <si>
    <t xml:space="preserve">Calle 3 Carrera 4A Esquina Antiguo Hotel Chimila Fundación</t>
  </si>
  <si>
    <t xml:space="preserve">Edwin Parra Castillo</t>
  </si>
  <si>
    <t>edparrac@sena.edu.co</t>
  </si>
  <si>
    <t>Fusagasugá</t>
  </si>
  <si>
    <t xml:space="preserve">Centro Agroecológico Y Empresarial (Quebrajacho)</t>
  </si>
  <si>
    <t xml:space="preserve">Vereda El Resguardo, Lote 1 Fusagasugá Cundinamarca</t>
  </si>
  <si>
    <t xml:space="preserve">Jesús Alberto Gaitán Córdoba</t>
  </si>
  <si>
    <t>jagaitan@sena.edu.co</t>
  </si>
  <si>
    <t xml:space="preserve">320 4090984</t>
  </si>
  <si>
    <t xml:space="preserve">Centro agroecologico y empresarial subsede Manuel Humberto Cardenas Velez</t>
  </si>
  <si>
    <t xml:space="preserve">Transversal 16 A con Avenida Manuel Humberto Cárdenas</t>
  </si>
  <si>
    <t>Gaira</t>
  </si>
  <si>
    <t xml:space="preserve">Centro Acuícola Y Agroindustrial De Gaira</t>
  </si>
  <si>
    <t xml:space="preserve">Kilómetro 6 Vía Gaira</t>
  </si>
  <si>
    <t>Galapa</t>
  </si>
  <si>
    <t xml:space="preserve">Nodo de diseño y mobiliario</t>
  </si>
  <si>
    <t xml:space="preserve">Calle 7B entre 55 y 56 Villa Olímpica - Galapa</t>
  </si>
  <si>
    <t>2021-02-01T05:00:00.000Z</t>
  </si>
  <si>
    <t>Garzón</t>
  </si>
  <si>
    <t xml:space="preserve">Centro Agroempresarial Y Desarrollo Pecuario Del Huila</t>
  </si>
  <si>
    <t xml:space="preserve">Carrera 10 No 11-22</t>
  </si>
  <si>
    <t xml:space="preserve">Carlos Fernando Corrales Suárez</t>
  </si>
  <si>
    <t>ccorrales@sena.edu.co</t>
  </si>
  <si>
    <t>312-584-2606</t>
  </si>
  <si>
    <t xml:space="preserve">Sede  Provivienda</t>
  </si>
  <si>
    <t xml:space="preserve">Calle 9 N 5-40 </t>
  </si>
  <si>
    <t>2023-12-30T04:59:59.000Z</t>
  </si>
  <si>
    <t>Girardot</t>
  </si>
  <si>
    <t xml:space="preserve">Centro De La Tecnología Del Diseño Y La Productividad Empresarial</t>
  </si>
  <si>
    <t xml:space="preserve">Carrera 10 # 30-05 Barrio la Magdalena </t>
  </si>
  <si>
    <t xml:space="preserve">06:00 A 14:00</t>
  </si>
  <si>
    <t xml:space="preserve">FILIBERTO JAVIER JIMENEZ NIETO</t>
  </si>
  <si>
    <t>filijavij@gmail.com</t>
  </si>
  <si>
    <t xml:space="preserve">313 395 3549</t>
  </si>
  <si>
    <t xml:space="preserve">Sede Ituc</t>
  </si>
  <si>
    <t xml:space="preserve">Calle 16 No. 16 -113  Federacion De Cafeteros</t>
  </si>
  <si>
    <t xml:space="preserve">Diego Enrique Conde Sepulveda</t>
  </si>
  <si>
    <t>condes@sena.edu.co</t>
  </si>
  <si>
    <t xml:space="preserve">305 3125329</t>
  </si>
  <si>
    <t xml:space="preserve">Cra. 12 #20-65</t>
  </si>
  <si>
    <t>Girón</t>
  </si>
  <si>
    <t xml:space="preserve">Centro Industrial De Mantenimiento Integral</t>
  </si>
  <si>
    <t xml:space="preserve">Km 7 vía Palenque - Rincón de Girón</t>
  </si>
  <si>
    <t xml:space="preserve">06:30 A 21:30</t>
  </si>
  <si>
    <t xml:space="preserve">06:30 A 21:00</t>
  </si>
  <si>
    <t xml:space="preserve">Jesus Antonio Delgado Alba</t>
  </si>
  <si>
    <t>jadelgado@sena.edu.co</t>
  </si>
  <si>
    <t xml:space="preserve">301 2609688</t>
  </si>
  <si>
    <t xml:space="preserve">Gómez Plata</t>
  </si>
  <si>
    <t xml:space="preserve">Sede Gómez Plata</t>
  </si>
  <si>
    <t xml:space="preserve">CRA 51  No. 49-27</t>
  </si>
  <si>
    <t xml:space="preserve">Duber Alexander Monsalve</t>
  </si>
  <si>
    <t>dalmonsalve@sena.edu.co</t>
  </si>
  <si>
    <t>Meta</t>
  </si>
  <si>
    <t>Granada</t>
  </si>
  <si>
    <t xml:space="preserve">Sede Granada </t>
  </si>
  <si>
    <t xml:space="preserve">Calle 16 No. 14-52</t>
  </si>
  <si>
    <t xml:space="preserve">Omar Nelson Contreras</t>
  </si>
  <si>
    <t>oncontreras@sena.edu.co</t>
  </si>
  <si>
    <t>311-287-6946</t>
  </si>
  <si>
    <t xml:space="preserve">Sede Los Naranjos</t>
  </si>
  <si>
    <t xml:space="preserve">Km 12 Via Granada - San Juan De Arama</t>
  </si>
  <si>
    <t xml:space="preserve">07:00 A 1700</t>
  </si>
  <si>
    <t>Cauca</t>
  </si>
  <si>
    <t>Guapi</t>
  </si>
  <si>
    <t xml:space="preserve">Sede Guapi</t>
  </si>
  <si>
    <t xml:space="preserve">Calle 13 -Barrio El Jardín -  Vía Al Aeropuerto</t>
  </si>
  <si>
    <t xml:space="preserve">Edwin Olmedo Brito Arenas</t>
  </si>
  <si>
    <t>edwinbrito@sena.edu.co</t>
  </si>
  <si>
    <t>Guarne</t>
  </si>
  <si>
    <t xml:space="preserve">Centro De La Innovación, La Agroindustria Y La Aviación Sede Guarne</t>
  </si>
  <si>
    <t xml:space="preserve">Cra 51 No. 51-28</t>
  </si>
  <si>
    <t xml:space="preserve">Sede Guarne</t>
  </si>
  <si>
    <t xml:space="preserve">Cra 51 #51-28</t>
  </si>
  <si>
    <t>154A</t>
  </si>
  <si>
    <t>Ibagué</t>
  </si>
  <si>
    <t xml:space="preserve">Transversal 1ª No. 42-44</t>
  </si>
  <si>
    <t xml:space="preserve">Oscar Javier Figueredo</t>
  </si>
  <si>
    <t>ojfigueredo@sena.edu.co</t>
  </si>
  <si>
    <t xml:space="preserve">Centro De Industria Y La Construcción</t>
  </si>
  <si>
    <t xml:space="preserve">Carrera  45 Sur  No. 141-05 Sector Picaleña, Contiguo A La Casa De La Moneda </t>
  </si>
  <si>
    <t xml:space="preserve">Cristian Camilo Ramirez Ampudia</t>
  </si>
  <si>
    <t>ccramireza@sena.edu.co</t>
  </si>
  <si>
    <t>317-584-9549</t>
  </si>
  <si>
    <t xml:space="preserve">Regional Tolima</t>
  </si>
  <si>
    <t>176A</t>
  </si>
  <si>
    <t>Guainía</t>
  </si>
  <si>
    <t>Inírida</t>
  </si>
  <si>
    <t xml:space="preserve">Centro Ambiental Y Ecoturístico Del Nororiente Amazónico</t>
  </si>
  <si>
    <t xml:space="preserve">Transversal 6ª No 29ª 03 Vía Al Coco</t>
  </si>
  <si>
    <t xml:space="preserve">Diego Luis Forero Ferreira</t>
  </si>
  <si>
    <t>dforerof@sena.edu.co</t>
  </si>
  <si>
    <t xml:space="preserve">Regional Guainía</t>
  </si>
  <si>
    <t>Nariño</t>
  </si>
  <si>
    <t>Ipiales</t>
  </si>
  <si>
    <t xml:space="preserve">Centro Sur Colombiano De Logística Internacional</t>
  </si>
  <si>
    <t xml:space="preserve">Carrera 7 No. 24A-48. Ipiales - Nariño</t>
  </si>
  <si>
    <t xml:space="preserve">07:00 A 23:00</t>
  </si>
  <si>
    <t xml:space="preserve"> Yaneth Andrea Argoty Garcia</t>
  </si>
  <si>
    <t> yargoty@sena.edu.co</t>
  </si>
  <si>
    <t xml:space="preserve"> 316 3824489</t>
  </si>
  <si>
    <t xml:space="preserve">Sede Ipiales</t>
  </si>
  <si>
    <t xml:space="preserve">Carrera 8 No. 23-117</t>
  </si>
  <si>
    <t>Chocó</t>
  </si>
  <si>
    <t>Istmina</t>
  </si>
  <si>
    <t xml:space="preserve">Carrera 8  #20 A – 00 Diócesis De Ismina</t>
  </si>
  <si>
    <t xml:space="preserve">Maria Eugenia Chavez Ibarguen</t>
  </si>
  <si>
    <t>mechavezi@sena.edu.co</t>
  </si>
  <si>
    <t>8A</t>
  </si>
  <si>
    <t>Itagüí</t>
  </si>
  <si>
    <t xml:space="preserve">Centro De Formación En Diseño, Confección Y Moda - Complejo Sur</t>
  </si>
  <si>
    <t xml:space="preserve">Cl.63  58B-03  Itagüí-Calatrava</t>
  </si>
  <si>
    <t xml:space="preserve">06:00 A 16:00</t>
  </si>
  <si>
    <t xml:space="preserve">Jaime Humberto Velasquez Ramirez</t>
  </si>
  <si>
    <t>jvelas@sena.edu.co</t>
  </si>
  <si>
    <t xml:space="preserve">Centro Del Diseño Y Manufactura De Cuero - Complejo Sur</t>
  </si>
  <si>
    <t xml:space="preserve">06:00 A 17:00</t>
  </si>
  <si>
    <t xml:space="preserve">Esnodio Rios Rodriguez</t>
  </si>
  <si>
    <t>erios@sena.edu.co</t>
  </si>
  <si>
    <t>8B</t>
  </si>
  <si>
    <t xml:space="preserve">Centro Tecnológico Del Mobiliario - Complejo Sur</t>
  </si>
  <si>
    <t xml:space="preserve">Cl.63  58B-03  Itagüí-Calatrava</t>
  </si>
  <si>
    <t>43129/43176</t>
  </si>
  <si>
    <t xml:space="preserve">Juan de Acosta</t>
  </si>
  <si>
    <t xml:space="preserve">Nodo Gastronomía y Bilingüismo</t>
  </si>
  <si>
    <t xml:space="preserve">Calle 9 N 5-40</t>
  </si>
  <si>
    <t xml:space="preserve">La Calera</t>
  </si>
  <si>
    <t xml:space="preserve">Sede - La Calera</t>
  </si>
  <si>
    <t xml:space="preserve">Salon Comunal - Vereda La Toma - La Calera</t>
  </si>
  <si>
    <t xml:space="preserve">Luis Eduardo Pinzón Galindo</t>
  </si>
  <si>
    <t>lepinzon@sena.edu.co</t>
  </si>
  <si>
    <t xml:space="preserve">La Ceja</t>
  </si>
  <si>
    <t xml:space="preserve">Calle 19 No. 13-300 Zona Rosa La Ceja</t>
  </si>
  <si>
    <t xml:space="preserve">La Dorada</t>
  </si>
  <si>
    <t xml:space="preserve">Centro Pecuario Y Agroempresarial</t>
  </si>
  <si>
    <t xml:space="preserve">Calle 41 Carrera 1ª.</t>
  </si>
  <si>
    <t xml:space="preserve">Sandra Milena Martinez</t>
  </si>
  <si>
    <t>sandra.martinez@sena.edu.co</t>
  </si>
  <si>
    <t xml:space="preserve">La Jagua De Ibirico</t>
  </si>
  <si>
    <t xml:space="preserve">Lote De Terreno No.2 La Samaria</t>
  </si>
  <si>
    <t xml:space="preserve">Sede Jagua De Ibirico</t>
  </si>
  <si>
    <t xml:space="preserve">Diagonal 4 Transversal 6 Esquina</t>
  </si>
  <si>
    <t xml:space="preserve">La Mesa</t>
  </si>
  <si>
    <t xml:space="preserve">Subsede la Mesa</t>
  </si>
  <si>
    <t xml:space="preserve">Calle 4 No. 15 53 / Carrera 15 Entre Calles 3 Y 4</t>
  </si>
  <si>
    <t xml:space="preserve">La Mojana</t>
  </si>
  <si>
    <t xml:space="preserve">Centro de Formación Agropecuarias SENA La Mojana</t>
  </si>
  <si>
    <t xml:space="preserve">Vereda El  Pañomar Norte  Villa Verta Cra 2 al lado del  Colegio El Palomar</t>
  </si>
  <si>
    <t xml:space="preserve">Jaime C. Solano Lastre</t>
  </si>
  <si>
    <t xml:space="preserve">La Plata</t>
  </si>
  <si>
    <t xml:space="preserve">Centro De Desarrollo Agroempresarial Y Turístico Del Huila</t>
  </si>
  <si>
    <t xml:space="preserve">Carrera 7 # 5-67</t>
  </si>
  <si>
    <t xml:space="preserve">07:00 A12:00</t>
  </si>
  <si>
    <t xml:space="preserve">Milton Vanegas Plazas</t>
  </si>
  <si>
    <t>mvanegaspl@sena.edu.co</t>
  </si>
  <si>
    <t xml:space="preserve">321 3808403</t>
  </si>
  <si>
    <t xml:space="preserve">La Primavera</t>
  </si>
  <si>
    <t xml:space="preserve">Sede La Primavera</t>
  </si>
  <si>
    <t xml:space="preserve">Carrera 9 # 3 - 28, La Primavera Vichada</t>
  </si>
  <si>
    <t xml:space="preserve">María Helena Vageón / Yenni Liseth Pidiache Rivera</t>
  </si>
  <si>
    <t xml:space="preserve">mvageon@sena.edu.co; ylpidiache@sena.edu.co</t>
  </si>
  <si>
    <t xml:space="preserve">318 6983517 / 311 5271222</t>
  </si>
  <si>
    <t xml:space="preserve">La Unión </t>
  </si>
  <si>
    <t xml:space="preserve">Sede La Union Nariño</t>
  </si>
  <si>
    <t xml:space="preserve">Barrio La Capilla - La Unión Nariño </t>
  </si>
  <si>
    <t xml:space="preserve">Faber Alexander Castillo Miramag</t>
  </si>
  <si>
    <t>facastillom@sena.edu.co</t>
  </si>
  <si>
    <t>Ladera</t>
  </si>
  <si>
    <t xml:space="preserve">Sede Ladera</t>
  </si>
  <si>
    <t xml:space="preserve">Calle 2B Oeste No. 90-27</t>
  </si>
  <si>
    <t>Amazonas</t>
  </si>
  <si>
    <t>Leticia</t>
  </si>
  <si>
    <t xml:space="preserve">Centro Para La Biodiversidad Y El Turismo Del Amazonas</t>
  </si>
  <si>
    <t xml:space="preserve">Km 1 Via Los Lagos</t>
  </si>
  <si>
    <t xml:space="preserve">MIGUEL ANGEL RAMIREZ RAMIREZ</t>
  </si>
  <si>
    <t>maramirezr@sena.edu.co</t>
  </si>
  <si>
    <t xml:space="preserve">Regional Amazonas</t>
  </si>
  <si>
    <t xml:space="preserve">Calle 12 No. 10 – 60 Centro</t>
  </si>
  <si>
    <t>Cordoba</t>
  </si>
  <si>
    <t>Lorica</t>
  </si>
  <si>
    <t xml:space="preserve">Sede - Lorica</t>
  </si>
  <si>
    <t xml:space="preserve">Kra 9 No. 1-35 Antigua Planta De Hielo</t>
  </si>
  <si>
    <t xml:space="preserve">Hernan Guillermo Isaza</t>
  </si>
  <si>
    <t>hgisaza@sena.edu.co</t>
  </si>
  <si>
    <t xml:space="preserve">Los Patios</t>
  </si>
  <si>
    <t xml:space="preserve">Avenida 10 No. 29 – 06 Barrio Patio Centro</t>
  </si>
  <si>
    <t xml:space="preserve">Luruaco </t>
  </si>
  <si>
    <t>Ecoturismo</t>
  </si>
  <si>
    <t xml:space="preserve">Carretera Cordialidad Cra 46  9 61 Local 2 / Parador Turístico de Luruaco frente a Laguna de Luruaco</t>
  </si>
  <si>
    <t xml:space="preserve">7:00 - 18:00 </t>
  </si>
  <si>
    <t>Maicao</t>
  </si>
  <si>
    <t xml:space="preserve">Centro Industrial Y De Energías Alternativas Sede Maicao</t>
  </si>
  <si>
    <t xml:space="preserve">Calle 16 No. 44 - 46 Troncal Del Caribe</t>
  </si>
  <si>
    <t xml:space="preserve">Angel Francisco Peñalver Brito</t>
  </si>
  <si>
    <t>apenalverb@sena.edu.co</t>
  </si>
  <si>
    <t>Málaga</t>
  </si>
  <si>
    <t xml:space="preserve">Centro Agroempresarial Y Turístico De Los Andes</t>
  </si>
  <si>
    <t xml:space="preserve">Carrera 11 No. 13-13 Barrio Ricaute</t>
  </si>
  <si>
    <t xml:space="preserve">Yenny Patricia Alean Castillo</t>
  </si>
  <si>
    <t>ypalean@sena.edu.co</t>
  </si>
  <si>
    <t xml:space="preserve">Instituto Técnico Industrial</t>
  </si>
  <si>
    <t xml:space="preserve">Calle 17 N. 8ª-19</t>
  </si>
  <si>
    <t xml:space="preserve">18:00 A 23:00</t>
  </si>
  <si>
    <t>2021-02-08T05:00:00.000Z</t>
  </si>
  <si>
    <t xml:space="preserve">Sede Apoyo de Formación Málaga</t>
  </si>
  <si>
    <t xml:space="preserve">Carrera 11 Nro 11 - 93</t>
  </si>
  <si>
    <t xml:space="preserve">Sede Granja Los Andes </t>
  </si>
  <si>
    <t xml:space="preserve">Finca Ventaquemada Vereda Calichal </t>
  </si>
  <si>
    <t xml:space="preserve">06:00 A 13:00</t>
  </si>
  <si>
    <t xml:space="preserve">Calle 11 Nº 11 - 109</t>
  </si>
  <si>
    <t>Malambo</t>
  </si>
  <si>
    <t xml:space="preserve">Sede Centro Nacional Colombo Alemán - Malambo</t>
  </si>
  <si>
    <t xml:space="preserve">Caracolí Lote 1 A2, Con Carrera 1 B Antigua Finca Altagracia</t>
  </si>
  <si>
    <t>59B</t>
  </si>
  <si>
    <t>Manizales</t>
  </si>
  <si>
    <t xml:space="preserve">Centro De Automatización Industrial</t>
  </si>
  <si>
    <t xml:space="preserve">Kilómetro 10 Vía Al Magdalena</t>
  </si>
  <si>
    <t xml:space="preserve">John Fredy Castrillón Aguirre</t>
  </si>
  <si>
    <t>jfcastrillon@sena.edu.co</t>
  </si>
  <si>
    <t>59D</t>
  </si>
  <si>
    <t xml:space="preserve">Alejandro Torres Osorio</t>
  </si>
  <si>
    <t>atorreso@sena.edu.co</t>
  </si>
  <si>
    <t xml:space="preserve">323 2934569</t>
  </si>
  <si>
    <t>59C</t>
  </si>
  <si>
    <t xml:space="preserve">Centro De Procesos Industriales Y Construcción</t>
  </si>
  <si>
    <t xml:space="preserve">Kilómetro 10 Vía Al Magdalena Calle 109 # 26-471</t>
  </si>
  <si>
    <t xml:space="preserve">Jaime Ancizar Gutierrez Rivera</t>
  </si>
  <si>
    <t>jagutierrez@sena.edu.co</t>
  </si>
  <si>
    <t>59A</t>
  </si>
  <si>
    <t xml:space="preserve">Centro Para La Formación Cafetera</t>
  </si>
  <si>
    <t xml:space="preserve">Regional Caldas</t>
  </si>
  <si>
    <t xml:space="preserve">07:30 A 17:30</t>
  </si>
  <si>
    <t xml:space="preserve">Francy Alberto Vallejo Berrio</t>
  </si>
  <si>
    <t>fvallejo17@sena.edu.co</t>
  </si>
  <si>
    <t xml:space="preserve">Servicio Medico Asistencial</t>
  </si>
  <si>
    <t xml:space="preserve">Carrera 25 No. 55B- 150 Colegio Inem – Bloque C Parte De Abajo. </t>
  </si>
  <si>
    <t xml:space="preserve">Spe Manizales</t>
  </si>
  <si>
    <t xml:space="preserve">Carrera 23  25-32 Ed. Esponsión Piso 3</t>
  </si>
  <si>
    <t xml:space="preserve">Tecnoacademia Manizales</t>
  </si>
  <si>
    <t xml:space="preserve">Avenida Paralela Calle 55 Colegio Inem – Bloque C, Parte De Abajo. </t>
  </si>
  <si>
    <t>Marinilla</t>
  </si>
  <si>
    <t xml:space="preserve">Tecnoacademia Marinilla         </t>
  </si>
  <si>
    <t xml:space="preserve">Carrera 42 A # 29 - 292 Parque Educativo El Canton </t>
  </si>
  <si>
    <t xml:space="preserve">8:00 – 17:00</t>
  </si>
  <si>
    <t xml:space="preserve">Sandra Ines Alzate Agudelo    </t>
  </si>
  <si>
    <t xml:space="preserve">salzatea@sena.edu.co  </t>
  </si>
  <si>
    <t>Medellín</t>
  </si>
  <si>
    <t xml:space="preserve">Buenos Aires</t>
  </si>
  <si>
    <t xml:space="preserve">Calle 48 N° 28-01</t>
  </si>
  <si>
    <t xml:space="preserve">Jose Ignacio Botero Osorio/William Cano Arango</t>
  </si>
  <si>
    <t>jibotero@sena.edu.co/wjcano@sena.edu.co</t>
  </si>
  <si>
    <t>3007847151/3153046319</t>
  </si>
  <si>
    <t>42418/42048</t>
  </si>
  <si>
    <t>2A</t>
  </si>
  <si>
    <t xml:space="preserve">Centro De Comercio</t>
  </si>
  <si>
    <t xml:space="preserve">Calle 51 # 57-70</t>
  </si>
  <si>
    <t xml:space="preserve">William Fernando Betancur Galeano</t>
  </si>
  <si>
    <t>wbetancur@sena.edu.co</t>
  </si>
  <si>
    <t>2B</t>
  </si>
  <si>
    <t xml:space="preserve">Centro De Servicios De Salud</t>
  </si>
  <si>
    <t xml:space="preserve">07:30 A 21:00</t>
  </si>
  <si>
    <t>2C</t>
  </si>
  <si>
    <t xml:space="preserve">Centro De Servicios Y Gestión Empresarial </t>
  </si>
  <si>
    <t xml:space="preserve">Esteban Garcia Garcia</t>
  </si>
  <si>
    <t>esgarciaga@sena.edu.co</t>
  </si>
  <si>
    <t>9A</t>
  </si>
  <si>
    <t xml:space="preserve">Centro De Tecnología De La Manufactura Avanzada - Complejo Pedregal</t>
  </si>
  <si>
    <t xml:space="preserve">Diag.104  69-120 El Pedregal</t>
  </si>
  <si>
    <t xml:space="preserve">Janneth Carmona Zapata</t>
  </si>
  <si>
    <t>jcarmona@sena.edu.co</t>
  </si>
  <si>
    <t>316-800-0484</t>
  </si>
  <si>
    <t xml:space="preserve">Centro Para El Desarrollo Del Hábitat Y La Construcción</t>
  </si>
  <si>
    <t xml:space="preserve">Calle 104 #69-120</t>
  </si>
  <si>
    <t xml:space="preserve">Edison Fernando Hincapie Arcila /Mateo Caro</t>
  </si>
  <si>
    <t xml:space="preserve">ehincapie@sena.edu.co/ mcaroc@sena.edu.co</t>
  </si>
  <si>
    <t xml:space="preserve">3104999127 / 3117634593</t>
  </si>
  <si>
    <t>43302/43461</t>
  </si>
  <si>
    <t>9B</t>
  </si>
  <si>
    <t xml:space="preserve">Centro Textil Y De Gestión Industrial</t>
  </si>
  <si>
    <t xml:space="preserve">06:00 A 21:30</t>
  </si>
  <si>
    <t xml:space="preserve">Hub De Innovación Medellín</t>
  </si>
  <si>
    <t xml:space="preserve">Calle 31 # 44A - 50</t>
  </si>
  <si>
    <t xml:space="preserve">Jesus Ignacio Botero Osorio</t>
  </si>
  <si>
    <t>jibotero@sena.edu.co</t>
  </si>
  <si>
    <t>2021-01-21T05:00:00.000Z</t>
  </si>
  <si>
    <t xml:space="preserve">Megasede El Pomar</t>
  </si>
  <si>
    <t xml:space="preserve">Cra 39 No.  72-025 Manrique</t>
  </si>
  <si>
    <t xml:space="preserve">Regional Antioquia</t>
  </si>
  <si>
    <t xml:space="preserve">42418 /42048</t>
  </si>
  <si>
    <t xml:space="preserve">Sede Alterna - Regional Antioquia</t>
  </si>
  <si>
    <t xml:space="preserve">Calle 41 # 55-80 Oficina 119 Centro Comercial Plaza Mayor</t>
  </si>
  <si>
    <t xml:space="preserve">Jesus Antonio Delgado Alba </t>
  </si>
  <si>
    <t xml:space="preserve">jadelgado@sena.edu.co </t>
  </si>
  <si>
    <t xml:space="preserve">Sede La Inmaculada</t>
  </si>
  <si>
    <t xml:space="preserve">Cll. 47 No. 43-48</t>
  </si>
  <si>
    <t xml:space="preserve">Subsede Tecno-academia Universitaria de Occidente</t>
  </si>
  <si>
    <t xml:space="preserve">Calle 38 # 94-50</t>
  </si>
  <si>
    <t>NA</t>
  </si>
  <si>
    <t xml:space="preserve">Subsede U de Colombia</t>
  </si>
  <si>
    <t xml:space="preserve">Calle 56 # 41-147</t>
  </si>
  <si>
    <t xml:space="preserve">Tecnoacademia Hábitat De La Construcción (Colegio Loyola)</t>
  </si>
  <si>
    <t xml:space="preserve">Calle 64 Aa No. 113A-04</t>
  </si>
  <si>
    <t xml:space="preserve">Tecnoparque Colombia Nodo Medellín</t>
  </si>
  <si>
    <t xml:space="preserve">Carrera 46 No. 56-11 Pisos 6 Y 7, Torre Argos</t>
  </si>
  <si>
    <t>Melgar</t>
  </si>
  <si>
    <t xml:space="preserve">Sede Escuela Gastronómica</t>
  </si>
  <si>
    <t xml:space="preserve">Kilometro 3 Via Melgar - Carmen De Apicala Sector Valle De Cauca De Los Lanceros</t>
  </si>
  <si>
    <t xml:space="preserve">Mesitas Del Colegio</t>
  </si>
  <si>
    <t xml:space="preserve">Cl  7 # 2B - 27/31</t>
  </si>
  <si>
    <t>178A</t>
  </si>
  <si>
    <t>Vaupés</t>
  </si>
  <si>
    <t>Mitú</t>
  </si>
  <si>
    <t xml:space="preserve">Centro Agropecuario Y De Servicios Ambientales Jiri-Jirimo</t>
  </si>
  <si>
    <t xml:space="preserve">Avenida 15 No. 6 - 176 Barrio San José</t>
  </si>
  <si>
    <t xml:space="preserve">Cesar Augusto Martinez Lezama</t>
  </si>
  <si>
    <t>cmartinezl@sena.edu.co</t>
  </si>
  <si>
    <t xml:space="preserve">311 880 75 79</t>
  </si>
  <si>
    <t xml:space="preserve">Regional Vaupés</t>
  </si>
  <si>
    <t xml:space="preserve">Avenida 15 No 5 -62 Barrio San José. Mitú - Vaupés</t>
  </si>
  <si>
    <t xml:space="preserve">07:30 A 22:00</t>
  </si>
  <si>
    <t xml:space="preserve">Sede Cuervo Araoz</t>
  </si>
  <si>
    <t xml:space="preserve">Carrera 6 No. 15-11 Barrio Cuervo Araoz</t>
  </si>
  <si>
    <t>Putumayo</t>
  </si>
  <si>
    <t>Mocoa</t>
  </si>
  <si>
    <t xml:space="preserve">Sede Mocoa</t>
  </si>
  <si>
    <t xml:space="preserve">Calle 10 # 3-10</t>
  </si>
  <si>
    <t>ACTIVA</t>
  </si>
  <si>
    <t xml:space="preserve">Luisa Maria Bañol Portilla</t>
  </si>
  <si>
    <t>lubanol@sena.edu.co</t>
  </si>
  <si>
    <t>84884/84865</t>
  </si>
  <si>
    <t>2021-01-18T05:00:00.000Z</t>
  </si>
  <si>
    <t>Mompós</t>
  </si>
  <si>
    <t xml:space="preserve">Sede Mompós</t>
  </si>
  <si>
    <t xml:space="preserve">Plaza De La Libertad -Palacio Municipal</t>
  </si>
  <si>
    <t>Moniquirá</t>
  </si>
  <si>
    <t xml:space="preserve">Sede Moniquirá</t>
  </si>
  <si>
    <t xml:space="preserve">Carrera 3A No 16 -02</t>
  </si>
  <si>
    <t xml:space="preserve">Mario Andrés Barón Mendez </t>
  </si>
  <si>
    <t>mbaronm@sena.edu.co</t>
  </si>
  <si>
    <t xml:space="preserve"> 311-260-3155</t>
  </si>
  <si>
    <t>Montería</t>
  </si>
  <si>
    <t xml:space="preserve">Centro Agropecuario Y De Biotecnología El Porvenir</t>
  </si>
  <si>
    <t xml:space="preserve">Km 45 Corregimiento Santa Isabel Vía Tierralta</t>
  </si>
  <si>
    <t xml:space="preserve">08:00 A 16:30</t>
  </si>
  <si>
    <t>75A</t>
  </si>
  <si>
    <t xml:space="preserve">Centro De Comercio, Industria Y Turismo De Córdoba</t>
  </si>
  <si>
    <t xml:space="preserve">Avenida Circunvalar Calle 24 Y 27</t>
  </si>
  <si>
    <t xml:space="preserve">Regional Córdoba</t>
  </si>
  <si>
    <t xml:space="preserve">San Jorge Montelíbano</t>
  </si>
  <si>
    <t xml:space="preserve">Calle 25 No 2-31 Antigua Sede Zimara Entrada Principal A Montelíbano</t>
  </si>
  <si>
    <t xml:space="preserve">Tecnoparque Montería</t>
  </si>
  <si>
    <t xml:space="preserve">Km.  11 Vía Montería – Cerete Frente Al Aeropuerto Los Garzones</t>
  </si>
  <si>
    <t>Mosquera</t>
  </si>
  <si>
    <t xml:space="preserve">Centro De Biotecnología Agropecuaria</t>
  </si>
  <si>
    <t xml:space="preserve">Kilometro 7 Vía Mosquera</t>
  </si>
  <si>
    <t>99A</t>
  </si>
  <si>
    <t>Neiva</t>
  </si>
  <si>
    <t xml:space="preserve">Centro De La Industria, La Empresa Y Los Servicios </t>
  </si>
  <si>
    <t xml:space="preserve">Carrera 5 No 16-16</t>
  </si>
  <si>
    <t xml:space="preserve">Eliana Yineth Lozano Triana</t>
  </si>
  <si>
    <t>eylozano@sena.edu.co</t>
  </si>
  <si>
    <t xml:space="preserve">322 2180041</t>
  </si>
  <si>
    <t xml:space="preserve">Regional Huila</t>
  </si>
  <si>
    <t xml:space="preserve">Sede Industrial</t>
  </si>
  <si>
    <t xml:space="preserve">Calle 66 No. 8 - 25</t>
  </si>
  <si>
    <t xml:space="preserve">Tecnoacademia Neiva</t>
  </si>
  <si>
    <t xml:space="preserve">Calle 40 No. 1-15 Barrio Cándido Leguizamón</t>
  </si>
  <si>
    <t xml:space="preserve">Tecnoparque Colombia Nodo Neiva</t>
  </si>
  <si>
    <t xml:space="preserve">Diagonal 20 No. 38-16 - Barrio Guaduales</t>
  </si>
  <si>
    <t>Ocaña</t>
  </si>
  <si>
    <t xml:space="preserve">Sede Grupo Ocaña</t>
  </si>
  <si>
    <t xml:space="preserve">Calle 12 No. 10-40 Barrio El Tamaco</t>
  </si>
  <si>
    <t xml:space="preserve">Tecnoparque Nodo Ocaña</t>
  </si>
  <si>
    <t xml:space="preserve">Trnasversal 30 N° 7-110  - Instituto Técnico Industrial Lucio Pabón Núñez Piso 1 - Barrio La Primavera</t>
  </si>
  <si>
    <t>Orito</t>
  </si>
  <si>
    <t xml:space="preserve">Sede Orito</t>
  </si>
  <si>
    <t xml:space="preserve">Carrera 14 Calle 12 esquina</t>
  </si>
  <si>
    <t>Pacho</t>
  </si>
  <si>
    <t xml:space="preserve">Sede - Pacho</t>
  </si>
  <si>
    <t xml:space="preserve">Kilometro 7 Vía  Pacho San San Cayetano, Vereda Llano De La Hacienda</t>
  </si>
  <si>
    <t xml:space="preserve">Leidy Tatiana Herrera Briceño</t>
  </si>
  <si>
    <t>ltherrera@sena.edu.co</t>
  </si>
  <si>
    <t xml:space="preserve">314 2446029</t>
  </si>
  <si>
    <t>Palmira</t>
  </si>
  <si>
    <t xml:space="preserve">Centro De Biotecnología Industrial</t>
  </si>
  <si>
    <t xml:space="preserve">Carrera 30 No 40 - 25</t>
  </si>
  <si>
    <t xml:space="preserve">Freddy Otoniel Sierra Silva</t>
  </si>
  <si>
    <t>fsierras@sena.edu.co</t>
  </si>
  <si>
    <t xml:space="preserve">Cra 33A 15-33 </t>
  </si>
  <si>
    <t>2021-01-15T05:00:00.000Z</t>
  </si>
  <si>
    <t>2022-12-18T04:59:59.000Z</t>
  </si>
  <si>
    <t>Pamplona</t>
  </si>
  <si>
    <t xml:space="preserve">Sede Grupo Pamplona</t>
  </si>
  <si>
    <t xml:space="preserve">Terminal De Transportes  - Carrera 9A No. 3-120</t>
  </si>
  <si>
    <t xml:space="preserve">Sede Pamplona</t>
  </si>
  <si>
    <t xml:space="preserve">Carrera 5  No. 4-18 Centro</t>
  </si>
  <si>
    <t>Pasto</t>
  </si>
  <si>
    <t xml:space="preserve">APE Pasto</t>
  </si>
  <si>
    <t xml:space="preserve">Carrera 25 No. 20-65 Oficina 2012</t>
  </si>
  <si>
    <t>2021-01-01T05:00:00.000Z</t>
  </si>
  <si>
    <t>2023-01-01T04:59:59.000Z</t>
  </si>
  <si>
    <t>119A</t>
  </si>
  <si>
    <t xml:space="preserve">Centro Internacional De Producción Limpia - Lope</t>
  </si>
  <si>
    <t xml:space="preserve">Calle 22 No. 11 Este-05. Vía A Oriente</t>
  </si>
  <si>
    <t xml:space="preserve">Luis Ernesto Melo Narváez</t>
  </si>
  <si>
    <t>lemelon@sena.edu.co</t>
  </si>
  <si>
    <t xml:space="preserve">Regional Nariño</t>
  </si>
  <si>
    <t>Casanare</t>
  </si>
  <si>
    <t xml:space="preserve">Paz De Ariporo</t>
  </si>
  <si>
    <t xml:space="preserve">Sede Paz De Ariporo</t>
  </si>
  <si>
    <t xml:space="preserve">Km 5 Via Marginal Del Llano</t>
  </si>
  <si>
    <t xml:space="preserve">Luis Eduardo Rodriguez</t>
  </si>
  <si>
    <t>lirodriguezb@sena.edu.co</t>
  </si>
  <si>
    <t>133A</t>
  </si>
  <si>
    <t>Pereira</t>
  </si>
  <si>
    <t xml:space="preserve">Centro Atención Sector Agropecuario</t>
  </si>
  <si>
    <t xml:space="preserve">Cra 8ª 26-79</t>
  </si>
  <si>
    <t>133B</t>
  </si>
  <si>
    <t xml:space="preserve">Escuela Gastronómica Y Cultural "Calle De La Fundación"</t>
  </si>
  <si>
    <t xml:space="preserve">Cra. 14Bis No. 19-60 Parque Olaya Herrera</t>
  </si>
  <si>
    <t xml:space="preserve">Regional Risaralda</t>
  </si>
  <si>
    <t xml:space="preserve">Sede Centro De Pereira</t>
  </si>
  <si>
    <t xml:space="preserve">Calle 20 No. 5-21 Piso 2</t>
  </si>
  <si>
    <t>Piedecuesta</t>
  </si>
  <si>
    <t xml:space="preserve">Piedecuesta Kl 2 Via Palogordo Vereda Guatiguara</t>
  </si>
  <si>
    <t xml:space="preserve">07:00 A 16:00</t>
  </si>
  <si>
    <t xml:space="preserve">Edwin Corzo</t>
  </si>
  <si>
    <t>ercorzo@sena.edu.co</t>
  </si>
  <si>
    <t>Pitalito</t>
  </si>
  <si>
    <t xml:space="preserve">Centro De Gestión Y Desarrollo Sostenible Surcolombiano</t>
  </si>
  <si>
    <t xml:space="preserve">Carrera 8 No. 7-53</t>
  </si>
  <si>
    <t xml:space="preserve">Alexander Chaux Nieto</t>
  </si>
  <si>
    <t>achaux@sena.edu.co</t>
  </si>
  <si>
    <t xml:space="preserve">Tecnoparque Agroecológico Yamboró.</t>
  </si>
  <si>
    <t xml:space="preserve">Area Rural A  7 Kms De La Sede Principal. Vereda Aguadas</t>
  </si>
  <si>
    <t>Plato</t>
  </si>
  <si>
    <t xml:space="preserve">Sede Plato</t>
  </si>
  <si>
    <t xml:space="preserve">Calle 3 No. 15 - 08</t>
  </si>
  <si>
    <t>Playón</t>
  </si>
  <si>
    <t xml:space="preserve">Sede Aguascalientes</t>
  </si>
  <si>
    <t xml:space="preserve">Km 49 Via Al Mar, Veredas Auguascalientes</t>
  </si>
  <si>
    <t>Popayán</t>
  </si>
  <si>
    <t xml:space="preserve">Archivo Central</t>
  </si>
  <si>
    <t xml:space="preserve">Calle 4N # 10-35</t>
  </si>
  <si>
    <t>2021-11-10T05:00:00.000Z</t>
  </si>
  <si>
    <t xml:space="preserve">Centro Agropecuario</t>
  </si>
  <si>
    <t xml:space="preserve">Carrera 9N  71N-60 Sede Alto Cauca</t>
  </si>
  <si>
    <t xml:space="preserve">David Alexander Almario Valencia</t>
  </si>
  <si>
    <t>dalmariov@sena.edu.co</t>
  </si>
  <si>
    <t xml:space="preserve">Calle 4 # 2-80</t>
  </si>
  <si>
    <t>66A</t>
  </si>
  <si>
    <t xml:space="preserve">Centro De Teleinformática Y Producción Industrial</t>
  </si>
  <si>
    <t xml:space="preserve">Carrera 9N  71N-60 Alto Del Cauca</t>
  </si>
  <si>
    <t xml:space="preserve">Regional Cauca</t>
  </si>
  <si>
    <t xml:space="preserve">Calle 4 # 2-67</t>
  </si>
  <si>
    <t xml:space="preserve">San Jose</t>
  </si>
  <si>
    <t xml:space="preserve">Calle 8 # 4-55</t>
  </si>
  <si>
    <t xml:space="preserve">ElIas Eduardo Leiton</t>
  </si>
  <si>
    <t>eleitonm@sena.edu.co</t>
  </si>
  <si>
    <t xml:space="preserve">Sede INEM</t>
  </si>
  <si>
    <t xml:space="preserve">Transversal 9 # 3N-02</t>
  </si>
  <si>
    <t xml:space="preserve">07:00 - 22:00</t>
  </si>
  <si>
    <t>Snft</t>
  </si>
  <si>
    <t xml:space="preserve">Calle 4 No 2-85</t>
  </si>
  <si>
    <t xml:space="preserve">Subsede Valencia</t>
  </si>
  <si>
    <t xml:space="preserve">Cra  17 # 8 -23 De La Ciudad De Popayán</t>
  </si>
  <si>
    <t xml:space="preserve">Tecnoparque Nodo Popayán</t>
  </si>
  <si>
    <t xml:space="preserve">Calle 5 # 26-00</t>
  </si>
  <si>
    <t xml:space="preserve">San Andres</t>
  </si>
  <si>
    <t>Providencia</t>
  </si>
  <si>
    <t xml:space="preserve">Campamento Providencia</t>
  </si>
  <si>
    <t xml:space="preserve">Pueblo Viejo Entrada Institución Educativa Junín / Al Lado De Antiguo Escuela Santa Terecita </t>
  </si>
  <si>
    <t xml:space="preserve">Nordine Davis García </t>
  </si>
  <si>
    <t>ndavisg@sena.edu.co</t>
  </si>
  <si>
    <t>2021-04-08T05:00:00.000Z</t>
  </si>
  <si>
    <t xml:space="preserve">Nueva Sede Providencia</t>
  </si>
  <si>
    <t xml:space="preserve">Sector Pueblo Viejo</t>
  </si>
  <si>
    <t xml:space="preserve">8:00 - 22:00</t>
  </si>
  <si>
    <t xml:space="preserve">Nordine Davis Garcia</t>
  </si>
  <si>
    <t xml:space="preserve">Sede Providencia</t>
  </si>
  <si>
    <t xml:space="preserve">Lado Escuela Santa Teresita Old Town</t>
  </si>
  <si>
    <t xml:space="preserve">Nordine Davis García </t>
  </si>
  <si>
    <t>171A</t>
  </si>
  <si>
    <t xml:space="preserve">Puerto Asís</t>
  </si>
  <si>
    <t xml:space="preserve">Centro Agroforestal Y Acuícola Arapaima</t>
  </si>
  <si>
    <t xml:space="preserve">Cra 23 A No 25-06, B. 20 De Julio</t>
  </si>
  <si>
    <t xml:space="preserve">Regional Putumayo</t>
  </si>
  <si>
    <t xml:space="preserve">Puerto Berrio</t>
  </si>
  <si>
    <t xml:space="preserve">Complejo Tecnológico Minero Agroempresarial</t>
  </si>
  <si>
    <t xml:space="preserve">Calle 43 No. 20-137 Barrio La Malena</t>
  </si>
  <si>
    <t xml:space="preserve">Puerto Boyacá</t>
  </si>
  <si>
    <t xml:space="preserve">Sede Puerto Boyacá</t>
  </si>
  <si>
    <t xml:space="preserve">Carrera 5 Vía Salida A La Dorada</t>
  </si>
  <si>
    <t>179A</t>
  </si>
  <si>
    <t xml:space="preserve">Puerto Carreño</t>
  </si>
  <si>
    <t xml:space="preserve">Centro De Producción Y Transformación Agroindustrial De La Orinoquía</t>
  </si>
  <si>
    <t xml:space="preserve">Cra 10 Nº 15 – 71 Barrio La Primavera</t>
  </si>
  <si>
    <t xml:space="preserve">Regional Vichada</t>
  </si>
  <si>
    <t xml:space="preserve">Cra 7 # 15 - 289</t>
  </si>
  <si>
    <t xml:space="preserve">Puerto Gaitan</t>
  </si>
  <si>
    <t xml:space="preserve">Sede Puerto Gaitan</t>
  </si>
  <si>
    <t xml:space="preserve">Kilómetro 1 Antes Del Arco De La Entrada A Puerto Gaitán A La Derecha</t>
  </si>
  <si>
    <t xml:space="preserve">John Jairo Sarmiento Martínez</t>
  </si>
  <si>
    <t>jsarmientom@sena.edu.co</t>
  </si>
  <si>
    <t xml:space="preserve">Puerto Leguizamo</t>
  </si>
  <si>
    <t xml:space="preserve">Carrera 10 Calle 12 Esquina</t>
  </si>
  <si>
    <t xml:space="preserve">Puerto Salgar</t>
  </si>
  <si>
    <t xml:space="preserve">Sede - Puerto Salgar</t>
  </si>
  <si>
    <t xml:space="preserve">Transv 8 No. 5-51  Barrio La Consolata </t>
  </si>
  <si>
    <t>Quibdó</t>
  </si>
  <si>
    <t xml:space="preserve">Centro De Formación Centro Minero</t>
  </si>
  <si>
    <t xml:space="preserve">Carrera 1 No. 28-71</t>
  </si>
  <si>
    <t xml:space="preserve">María Eugenia Chávez Ibarguen</t>
  </si>
  <si>
    <t>320-632-2392</t>
  </si>
  <si>
    <t>96A</t>
  </si>
  <si>
    <t xml:space="preserve">Centro De Recursos Naturales, Industria Y Biodiversidad</t>
  </si>
  <si>
    <t xml:space="preserve">Regional Chocó</t>
  </si>
  <si>
    <t>106B</t>
  </si>
  <si>
    <t>Riohacha</t>
  </si>
  <si>
    <t xml:space="preserve">Centro Agroempresarial Y Acuícola (Área Administrativa)</t>
  </si>
  <si>
    <t xml:space="preserve">Calle 21 Avenida Aeropuerto Esquina</t>
  </si>
  <si>
    <t>106C</t>
  </si>
  <si>
    <t xml:space="preserve">Centro Industrial Y De Energías Alternativas (Área Administrativa)</t>
  </si>
  <si>
    <t xml:space="preserve">Regional Guajira</t>
  </si>
  <si>
    <t xml:space="preserve">Kilometro 5 Salida A Maicao</t>
  </si>
  <si>
    <t>Rionegro</t>
  </si>
  <si>
    <t xml:space="preserve">Centro De La Innovación, La Agroindustria Y La Aviación</t>
  </si>
  <si>
    <t xml:space="preserve">Cra 48 # 49-62 Casa De La Constitución</t>
  </si>
  <si>
    <t xml:space="preserve">CORPORACION UNIVERSITARIA REMINGTON -
UNIREMINGTON</t>
  </si>
  <si>
    <t xml:space="preserve">Transversal 49 #39A-170</t>
  </si>
  <si>
    <t xml:space="preserve">7:00 -21:00</t>
  </si>
  <si>
    <t xml:space="preserve">Sandra Inés Alzate Agudelo</t>
  </si>
  <si>
    <t xml:space="preserve">Sede Aviación</t>
  </si>
  <si>
    <t xml:space="preserve">Zona Franca De Rionegro Bodega 49</t>
  </si>
  <si>
    <t xml:space="preserve">07:00 A 15:00</t>
  </si>
  <si>
    <t xml:space="preserve">Sede Zona Franca</t>
  </si>
  <si>
    <t xml:space="preserve">Vereda La Bodega, Zona Franca De Rionegro Bodega 14 Y 15</t>
  </si>
  <si>
    <t xml:space="preserve">Tecnoparque Nodo Rionegro (Escuela Gastronómica)</t>
  </si>
  <si>
    <t xml:space="preserve">Vereda La Bodega, Zona Franca Rionegro Bodega 15</t>
  </si>
  <si>
    <t>Sanatander</t>
  </si>
  <si>
    <t xml:space="preserve">Sabana de Torres</t>
  </si>
  <si>
    <t xml:space="preserve">Calle 4 # 16 A -85</t>
  </si>
  <si>
    <t xml:space="preserve">6:00 - 21:00</t>
  </si>
  <si>
    <t>2021-07-23T05:00:00.000Z</t>
  </si>
  <si>
    <t>2023-07-22T04:59:59.000Z</t>
  </si>
  <si>
    <t>Sabanalarga</t>
  </si>
  <si>
    <t xml:space="preserve">Centro Para El Desarrollo Agroecológico Y Agroindustrial</t>
  </si>
  <si>
    <t xml:space="preserve">Calle 9  19-120 </t>
  </si>
  <si>
    <t xml:space="preserve">Finca El Caney</t>
  </si>
  <si>
    <t xml:space="preserve">Km. 35 Margen Oriental Carretera La Cordialidad A 3 Km De Sabanalarga</t>
  </si>
  <si>
    <t xml:space="preserve">Nodo Agroempresarial </t>
  </si>
  <si>
    <t xml:space="preserve">Cl. 9 #19-120</t>
  </si>
  <si>
    <t xml:space="preserve">Jorge Luis Pinedo</t>
  </si>
  <si>
    <t xml:space="preserve">San Alberto</t>
  </si>
  <si>
    <t xml:space="preserve">Sede San Alberto</t>
  </si>
  <si>
    <t xml:space="preserve">Calle 2B No.16-26.</t>
  </si>
  <si>
    <t>173A</t>
  </si>
  <si>
    <t xml:space="preserve">San Andrés</t>
  </si>
  <si>
    <t xml:space="preserve">Centro De Formación Turística, Gente De Mar Y De Servicios </t>
  </si>
  <si>
    <t xml:space="preserve">Avenida Francisco Newball</t>
  </si>
  <si>
    <t xml:space="preserve">08:00 A 23:00</t>
  </si>
  <si>
    <t xml:space="preserve">Regional San Andrés</t>
  </si>
  <si>
    <t xml:space="preserve">Sede Bilingüismo</t>
  </si>
  <si>
    <t xml:space="preserve">Avenida Providencia 1A - 48 Edificio Leda Locales 201, 202, 203</t>
  </si>
  <si>
    <t xml:space="preserve">San Gil</t>
  </si>
  <si>
    <t xml:space="preserve">Centro Agroturístico</t>
  </si>
  <si>
    <t xml:space="preserve">Calle 22 No. 9 - 82 La Industria</t>
  </si>
  <si>
    <t xml:space="preserve">06:30 A 22:30</t>
  </si>
  <si>
    <t xml:space="preserve">Javier Eduardo Mendez Rangel</t>
  </si>
  <si>
    <t xml:space="preserve">Centro Comercial San Gil Plaza</t>
  </si>
  <si>
    <t xml:space="preserve">Carrera 17 N° 35-46</t>
  </si>
  <si>
    <t xml:space="preserve">18:00 A 22:00</t>
  </si>
  <si>
    <t>2021-01-29T05:00:00.000Z</t>
  </si>
  <si>
    <t>2023-07-28T04:59:59.000Z</t>
  </si>
  <si>
    <t xml:space="preserve">San Jacinto</t>
  </si>
  <si>
    <t xml:space="preserve">Sede San Jacinto</t>
  </si>
  <si>
    <t xml:space="preserve">Plaza Principal</t>
  </si>
  <si>
    <t>275A</t>
  </si>
  <si>
    <t>Guaviare</t>
  </si>
  <si>
    <t xml:space="preserve">San José Del Guaviare</t>
  </si>
  <si>
    <t xml:space="preserve">Centro De Desarrollo Agroindustrial, Turístico Y Tecnológico Del Guaviare</t>
  </si>
  <si>
    <t xml:space="preserve">Edwin Enrique Buchely Moreno</t>
  </si>
  <si>
    <t>ebuchely@sena.edu.co</t>
  </si>
  <si>
    <t xml:space="preserve">Centro De Desarrollo Agroindustrial, Turístico Y Tecnológico Del Guaviare Sede Centro</t>
  </si>
  <si>
    <t xml:space="preserve">Cra. 24 7 10</t>
  </si>
  <si>
    <t xml:space="preserve">Regional Guaviare</t>
  </si>
  <si>
    <t xml:space="preserve">San Juan De Rio Seco</t>
  </si>
  <si>
    <t xml:space="preserve">Sede - San Juan De Rio Seco</t>
  </si>
  <si>
    <t xml:space="preserve">Carrera 8 No. 6-13</t>
  </si>
  <si>
    <t xml:space="preserve">San Pablo</t>
  </si>
  <si>
    <t xml:space="preserve">Sede San Pablo</t>
  </si>
  <si>
    <t xml:space="preserve">Sede De La Asociación De Palmicultores, San Pablo - Bolívar</t>
  </si>
  <si>
    <t xml:space="preserve">San Vicente Del Caguán</t>
  </si>
  <si>
    <t xml:space="preserve">Carrera 4 No 3-12</t>
  </si>
  <si>
    <t xml:space="preserve">Santa Fe De Antioquia</t>
  </si>
  <si>
    <t xml:space="preserve">Complejo Tecnológico, Turístico Y Agroindustrial Del Occidente Antioqueño</t>
  </si>
  <si>
    <t xml:space="preserve">Calle 11 Nro. 12-42</t>
  </si>
  <si>
    <t xml:space="preserve">Santa Marta</t>
  </si>
  <si>
    <t>Bodega</t>
  </si>
  <si>
    <t xml:space="preserve">Calle 28A No. 14 - 47 Barrio Bostón</t>
  </si>
  <si>
    <t xml:space="preserve">Lizbeth Victoria Torres Fernández  </t>
  </si>
  <si>
    <t>ltorres@sena.edu.co</t>
  </si>
  <si>
    <t>301-681-3142</t>
  </si>
  <si>
    <t xml:space="preserve">Centro De Logística Y Promoción Ecoturística Del Magdalena</t>
  </si>
  <si>
    <t xml:space="preserve">Avenida Ferrocarril  27-97</t>
  </si>
  <si>
    <t xml:space="preserve">Ipc - Centro De Logística Y Promoción Ecoturística Del Magdalena</t>
  </si>
  <si>
    <t xml:space="preserve">Calle 34 Carrera 16 Las Américas</t>
  </si>
  <si>
    <t xml:space="preserve">Regional Magdalena</t>
  </si>
  <si>
    <t xml:space="preserve">Calle 29 # 13 – 127 Barrio Bavaria</t>
  </si>
  <si>
    <t>2021-01-27T05:00:00.000Z</t>
  </si>
  <si>
    <t xml:space="preserve">Sede El Banco</t>
  </si>
  <si>
    <t xml:space="preserve">Calle 2 No 5-49 Barrio La Padilla</t>
  </si>
  <si>
    <t xml:space="preserve">Santa Rosa De Cabal</t>
  </si>
  <si>
    <t xml:space="preserve">Km 3 Vereda Lombo - Santa Rosa De Cabal </t>
  </si>
  <si>
    <t xml:space="preserve">Santa Rosa De Osos</t>
  </si>
  <si>
    <t xml:space="preserve">Carrera 29 No. 25-27</t>
  </si>
  <si>
    <t xml:space="preserve">Santa Rosalia</t>
  </si>
  <si>
    <t xml:space="preserve">Calle 4 # 8 - 25</t>
  </si>
  <si>
    <t xml:space="preserve">Santander De Quilichao</t>
  </si>
  <si>
    <t xml:space="preserve">Centro Integrado Para La Formación Profesional Del Norte Del Cauca – La Samaria</t>
  </si>
  <si>
    <t xml:space="preserve">Calle 25 # 19C-20</t>
  </si>
  <si>
    <t xml:space="preserve">Sede - Santander De Quilichao</t>
  </si>
  <si>
    <t xml:space="preserve">Carrera 11 No. 6-31</t>
  </si>
  <si>
    <t xml:space="preserve">Santiago De Tolú</t>
  </si>
  <si>
    <t xml:space="preserve">Ave. 1ra Calle 20 Esquina</t>
  </si>
  <si>
    <t>Saravena</t>
  </si>
  <si>
    <t xml:space="preserve">Sede Saravena</t>
  </si>
  <si>
    <t xml:space="preserve">Carrera 16A #19-28</t>
  </si>
  <si>
    <t>Sibaté</t>
  </si>
  <si>
    <t xml:space="preserve">Sede Sibaté</t>
  </si>
  <si>
    <t xml:space="preserve">Km. 2 Vía Sibaté La Nueva Colonia</t>
  </si>
  <si>
    <t xml:space="preserve">Isabel Cristina Santamaria Montoya</t>
  </si>
  <si>
    <t>icsantamaria@sena.edu.co</t>
  </si>
  <si>
    <t>Sibundoy</t>
  </si>
  <si>
    <t xml:space="preserve">Vereda Machindoy - Via Itp (Instituto Técnico Del Putumayo)</t>
  </si>
  <si>
    <t>Sincelejo</t>
  </si>
  <si>
    <t xml:space="preserve">Centro De La Innovación La Tecnología Y Los Servicios - La Gallera</t>
  </si>
  <si>
    <t xml:space="preserve">Kilómetro 7 Vía Sampués. Sincelejo - Sucre</t>
  </si>
  <si>
    <t>149A</t>
  </si>
  <si>
    <t xml:space="preserve">Centro De La Innovación, La Tecnología Y Los Servicios</t>
  </si>
  <si>
    <t xml:space="preserve">Cra 18 # 20-34 Centro</t>
  </si>
  <si>
    <t xml:space="preserve">Regional Sucre</t>
  </si>
  <si>
    <t xml:space="preserve">Calle 25B # 31 - 260 Boston</t>
  </si>
  <si>
    <t xml:space="preserve">07:00 A 10:00 p.m</t>
  </si>
  <si>
    <t xml:space="preserve">7:00 a.m A 1:00 p.m</t>
  </si>
  <si>
    <t xml:space="preserve">Sede Nueva Boston</t>
  </si>
  <si>
    <t xml:space="preserve">Calle 25B No 31 – 260 Barrio Boston</t>
  </si>
  <si>
    <t>Soacha</t>
  </si>
  <si>
    <t xml:space="preserve">Centro De Tecnologías Del Transporte</t>
  </si>
  <si>
    <t xml:space="preserve">Calle 8 No. 6 -54 Entrada 3 Zona Industrial Cazuca Entrada Parqueadero</t>
  </si>
  <si>
    <t xml:space="preserve">Cristian Alejandro Cortes Angulo</t>
  </si>
  <si>
    <t>ccortesa@sena.edu.co</t>
  </si>
  <si>
    <t>318-644-6049</t>
  </si>
  <si>
    <t xml:space="preserve">Centro De Tecnologías Para La Construcción Y La Madera</t>
  </si>
  <si>
    <t xml:space="preserve">Cra 4 # 53-54  Autopisata Sur Soacha / Cl 8 # 6-54 Entrada 3 Zona Industrial Cazuca (Parqueadero)</t>
  </si>
  <si>
    <t xml:space="preserve">Edward David Castro Giraldo</t>
  </si>
  <si>
    <t>edcastro@sena.edu.co</t>
  </si>
  <si>
    <t xml:space="preserve">Centro Industrial Y Desarrollo Empresarial De Soacha</t>
  </si>
  <si>
    <t xml:space="preserve">Clle 13 No. 10 -60</t>
  </si>
  <si>
    <t xml:space="preserve">Sede El Altico</t>
  </si>
  <si>
    <t xml:space="preserve">Carrera 4 No. 3-40</t>
  </si>
  <si>
    <t xml:space="preserve">Fabian Rodolfo Ramirez Huertas</t>
  </si>
  <si>
    <t>frramirezh@sena.edu.co</t>
  </si>
  <si>
    <t xml:space="preserve">314 444 37 31</t>
  </si>
  <si>
    <t>Soata</t>
  </si>
  <si>
    <t xml:space="preserve">Sede Soatá</t>
  </si>
  <si>
    <t xml:space="preserve">Carrera 6 No 8 -47</t>
  </si>
  <si>
    <t>Socorro</t>
  </si>
  <si>
    <t xml:space="preserve">Sede Socorro</t>
  </si>
  <si>
    <t xml:space="preserve">Calle 16 N° 14-28 Centro</t>
  </si>
  <si>
    <t>53A</t>
  </si>
  <si>
    <t>Sogamoso</t>
  </si>
  <si>
    <t xml:space="preserve">Centro Industrial De Mantenimiento Y Manufactura</t>
  </si>
  <si>
    <t xml:space="preserve">Carrera 12  55 A – 51</t>
  </si>
  <si>
    <t xml:space="preserve">Wilmar Augusto Reina Acero</t>
  </si>
  <si>
    <t>wreina@sena.edu.co</t>
  </si>
  <si>
    <t xml:space="preserve">Centro Minero</t>
  </si>
  <si>
    <t xml:space="preserve">Veredá Morcá</t>
  </si>
  <si>
    <t xml:space="preserve">Regional Boyacá</t>
  </si>
  <si>
    <t>Soledad</t>
  </si>
  <si>
    <t xml:space="preserve">Nodo Operaciones Comerciales</t>
  </si>
  <si>
    <t xml:space="preserve">Cra 24 Calle 48 - Soledad</t>
  </si>
  <si>
    <t>Sonsón</t>
  </si>
  <si>
    <t xml:space="preserve">Sede Sonsón</t>
  </si>
  <si>
    <t xml:space="preserve">Calle 10 No. 1-21 Barrio Chagualito</t>
  </si>
  <si>
    <t>Sopó</t>
  </si>
  <si>
    <t xml:space="preserve">Calle 3 No. 2-22</t>
  </si>
  <si>
    <t>Tame</t>
  </si>
  <si>
    <t xml:space="preserve">Sede Tame</t>
  </si>
  <si>
    <t xml:space="preserve">Calle 15 #37-97</t>
  </si>
  <si>
    <t>Tenjo</t>
  </si>
  <si>
    <t xml:space="preserve">Sede Tenjo</t>
  </si>
  <si>
    <t xml:space="preserve">Calle 3 #3-32 Centro Tecnologico</t>
  </si>
  <si>
    <t>Tocancipá</t>
  </si>
  <si>
    <t xml:space="preserve">Sede Tocancipá</t>
  </si>
  <si>
    <t xml:space="preserve">Kilómetro 2 Vía Tocancipa –  Zipaquira (Autódromo). Parque Gran Sabana</t>
  </si>
  <si>
    <t>Tuluá</t>
  </si>
  <si>
    <t xml:space="preserve">Centro Latinoamericano De Especies Menores</t>
  </si>
  <si>
    <t xml:space="preserve">Carretera Central A Tulúa Kilómetro 2</t>
  </si>
  <si>
    <t xml:space="preserve">07:00 A 17:15</t>
  </si>
  <si>
    <t xml:space="preserve">Fabian Cerquera Muñoz </t>
  </si>
  <si>
    <t>fcerquera@sena.edu.co</t>
  </si>
  <si>
    <t>311-315-7256</t>
  </si>
  <si>
    <t xml:space="preserve">Sena Clem - Sagrado Corazón De Jesus</t>
  </si>
  <si>
    <t xml:space="preserve">Carrera 25 # 24-47</t>
  </si>
  <si>
    <t>2021-04-04T05:00:00.000Z</t>
  </si>
  <si>
    <t xml:space="preserve">Spe Tuluá</t>
  </si>
  <si>
    <t xml:space="preserve">Calle 20 Con Carrera 13 Junto Al Hospital Ruben Cruz Velez</t>
  </si>
  <si>
    <t xml:space="preserve">6:00 a 18:00</t>
  </si>
  <si>
    <t>166-1</t>
  </si>
  <si>
    <t xml:space="preserve">Carrera 26 # 34-40 Barrio Salesiano</t>
  </si>
  <si>
    <t xml:space="preserve">14:00 A 22:00</t>
  </si>
  <si>
    <t>166-2</t>
  </si>
  <si>
    <t xml:space="preserve">Calle 25 # 17-26 Barrio Las Delicias</t>
  </si>
  <si>
    <t>166-3</t>
  </si>
  <si>
    <t xml:space="preserve">Cl. 36 #25-68 Barrio Salesiano</t>
  </si>
  <si>
    <t xml:space="preserve">6:00 a 14:00</t>
  </si>
  <si>
    <t>Tumaco</t>
  </si>
  <si>
    <t xml:space="preserve">Centro Agroindustrial Y Pesquero De La Costa Pacífica</t>
  </si>
  <si>
    <t xml:space="preserve">Calle Del Comercio Muelle</t>
  </si>
  <si>
    <t xml:space="preserve">Wilmer Arturo Mendoza Montano</t>
  </si>
  <si>
    <t> wmendozam@sena.edu.co</t>
  </si>
  <si>
    <t xml:space="preserve"> 318 7726210</t>
  </si>
  <si>
    <t xml:space="preserve">Sede Muelle</t>
  </si>
  <si>
    <t xml:space="preserve">Calle Del Comercio</t>
  </si>
  <si>
    <t xml:space="preserve">Sede Obando</t>
  </si>
  <si>
    <t xml:space="preserve">Calle Obando Carrera 9B No. 13-21</t>
  </si>
  <si>
    <t xml:space="preserve">Wilmer Arturo Mendoza Montaño</t>
  </si>
  <si>
    <t>wmendozam@sena.edu.co</t>
  </si>
  <si>
    <t>Tunja</t>
  </si>
  <si>
    <t xml:space="preserve">Centro De Gestión Administrativa Y Fortalecimiento Empresarial</t>
  </si>
  <si>
    <t xml:space="preserve">Calle 19  12-29</t>
  </si>
  <si>
    <t xml:space="preserve">Convento Santa Clara</t>
  </si>
  <si>
    <t xml:space="preserve">Calle 19 No. 12 - 29</t>
  </si>
  <si>
    <t xml:space="preserve">Escuela Gastronómica De Tunja</t>
  </si>
  <si>
    <t xml:space="preserve">Carrera 1 Este No. 67-110, Barrio Capitolio</t>
  </si>
  <si>
    <t xml:space="preserve">SEMINARIO MAYOR ITEDRIS</t>
  </si>
  <si>
    <t xml:space="preserve">calle 63 # 2-185</t>
  </si>
  <si>
    <t xml:space="preserve">7:00 -17:00 </t>
  </si>
  <si>
    <t xml:space="preserve">MARIO ANDRES BARON MENDEZ</t>
  </si>
  <si>
    <t>2023-13-02T05:00:00.000Z</t>
  </si>
  <si>
    <t xml:space="preserve">Servicio Público Empleo Tunja</t>
  </si>
  <si>
    <t xml:space="preserve">Carrera 9 No. 28 34</t>
  </si>
  <si>
    <t>Tuquerres</t>
  </si>
  <si>
    <t xml:space="preserve">Tecnoacademia Del Centro Surcolombiano De Logística Internacional</t>
  </si>
  <si>
    <t xml:space="preserve">Calle 27 Con Carrera 13A</t>
  </si>
  <si>
    <t>Ubaté</t>
  </si>
  <si>
    <t xml:space="preserve">Villa De San Diego</t>
  </si>
  <si>
    <t xml:space="preserve">Carrera 4 #14A-06 La Legua</t>
  </si>
  <si>
    <t>2021-10-01T05:00:00.000Z</t>
  </si>
  <si>
    <t>Valledupar</t>
  </si>
  <si>
    <t xml:space="preserve">Centro Biotecnológico Del Caribe</t>
  </si>
  <si>
    <t xml:space="preserve">Km. 7 Vía A La Paz</t>
  </si>
  <si>
    <t>70A</t>
  </si>
  <si>
    <t xml:space="preserve">Centro De Operación Y Mantenimiento Minero</t>
  </si>
  <si>
    <t xml:space="preserve">Carrera 19 Entre Calles 14 Y 15</t>
  </si>
  <si>
    <t xml:space="preserve">Regional Cesar</t>
  </si>
  <si>
    <t xml:space="preserve">Sede Centro De Desarrollo Vecinal-Cdv</t>
  </si>
  <si>
    <t xml:space="preserve">Diagonal 18 A Entre Calle 30 Y 31 (Barrio Fundadores - Sabanas Del Valle) </t>
  </si>
  <si>
    <t xml:space="preserve">Sede Economía Naranja</t>
  </si>
  <si>
    <t xml:space="preserve">Calle 39 con Carrera 5</t>
  </si>
  <si>
    <t>Vélez</t>
  </si>
  <si>
    <t xml:space="preserve">Centro De Gestión Agroempresarial Del Oriente</t>
  </si>
  <si>
    <t xml:space="preserve">Calle 8 No. 2 Este Par Av. Las Cuadras</t>
  </si>
  <si>
    <t xml:space="preserve">Sede Finca Villa Luz</t>
  </si>
  <si>
    <t xml:space="preserve">Vereda Pozo Negro Km. 7 Vía Barbosa – Vélez</t>
  </si>
  <si>
    <t>Villapinzón</t>
  </si>
  <si>
    <t xml:space="preserve">Sede - Villapinzón</t>
  </si>
  <si>
    <t xml:space="preserve">Calle 3 #9-38 Edificio Centro Dia</t>
  </si>
  <si>
    <t>115A</t>
  </si>
  <si>
    <t>Villavicencio</t>
  </si>
  <si>
    <t xml:space="preserve">Centro De Industria Y Servicios Del Meta</t>
  </si>
  <si>
    <t xml:space="preserve">Km 1 Vía Acacias</t>
  </si>
  <si>
    <t xml:space="preserve">Regional Meta</t>
  </si>
  <si>
    <t xml:space="preserve">Sede El Hachon</t>
  </si>
  <si>
    <t xml:space="preserve">Km 12 Via Villavicencio - Puerto Lopez</t>
  </si>
  <si>
    <t xml:space="preserve">Sede El Taladro</t>
  </si>
  <si>
    <t xml:space="preserve">Km 12 Vía Puerto López</t>
  </si>
  <si>
    <t xml:space="preserve">Suspendida Temporalmente</t>
  </si>
  <si>
    <t xml:space="preserve">Sede Popular</t>
  </si>
  <si>
    <t xml:space="preserve">Carrera 12A # 24-39 Barrio Popular</t>
  </si>
  <si>
    <t xml:space="preserve">7:00 - 22:00	</t>
  </si>
  <si>
    <t>Villeta</t>
  </si>
  <si>
    <t xml:space="preserve">Centro De Desarrollo Agroindustrial Y Empresarial</t>
  </si>
  <si>
    <t xml:space="preserve">Calle 2 No. 13 – 03 Barrio San Rafael</t>
  </si>
  <si>
    <t>170A</t>
  </si>
  <si>
    <t>Yopal</t>
  </si>
  <si>
    <t xml:space="preserve">Centro Agroindustrial Y Fortalecimiento Empresarial De Casanare</t>
  </si>
  <si>
    <t xml:space="preserve">Carrera 19 No. 36-68</t>
  </si>
  <si>
    <t xml:space="preserve">Regional Casanare</t>
  </si>
  <si>
    <t>Yumbo</t>
  </si>
  <si>
    <t xml:space="preserve">Sede Yumbo</t>
  </si>
  <si>
    <t xml:space="preserve">Calle 16N # 2-2 A 2-100 / Arroyohondo Barrio Trinidad Etapa 1</t>
  </si>
  <si>
    <t>Zipaquirá</t>
  </si>
  <si>
    <t xml:space="preserve">Sede - Zipaquirá</t>
  </si>
  <si>
    <t xml:space="preserve">Vereda Fraguita, Sector Portachuelo, Antigua Sede Administrativa de Transito Zipaquirá-Cundinamarca</t>
  </si>
  <si>
    <t xml:space="preserve">7:00 - 18:01</t>
  </si>
  <si>
    <t xml:space="preserve">313 2766918</t>
  </si>
  <si>
    <t>2026-10-31T04:59:59.000Z</t>
  </si>
  <si>
    <t>90-3</t>
  </si>
  <si>
    <t xml:space="preserve">Sede Zipaquira</t>
  </si>
  <si>
    <t xml:space="preserve">Calle 4 No. 32-80</t>
  </si>
  <si>
    <t xml:space="preserve">Versión: 06</t>
  </si>
  <si>
    <r>
      <t xml:space="preserve">Código: 
</t>
    </r>
    <r>
      <rPr>
        <sz val="12"/>
        <rFont val="Calibri"/>
        <scheme val="minor"/>
      </rPr>
      <t>GTI</t>
    </r>
    <r>
      <rPr>
        <sz val="12"/>
        <color theme="1"/>
        <rFont val="Calibri"/>
        <scheme val="minor"/>
      </rPr>
      <t>-F-029</t>
    </r>
  </si>
  <si>
    <t>PROCESO</t>
  </si>
  <si>
    <t xml:space="preserve">Versión: 05</t>
  </si>
  <si>
    <t xml:space="preserve">Gestión de Tecnologías de la Información </t>
  </si>
  <si>
    <t xml:space="preserve">NOMBRE DEL FORMATO</t>
  </si>
  <si>
    <t xml:space="preserve">Formato de Petición de Accesos Directorio Activo y Correo Electrónico</t>
  </si>
  <si>
    <t xml:space="preserve">CLASIFICACIÓN DE LA INFORMACIÓN</t>
  </si>
  <si>
    <t xml:space="preserve">Pública  </t>
  </si>
  <si>
    <t xml:space="preserve">Pública Clasificada</t>
  </si>
  <si>
    <t xml:space="preserve">Pública Reservada</t>
  </si>
  <si>
    <t xml:space="preserve">INSTRUCCIONES PARA EL DILIGENCIAMIENTO DEL FORMATO</t>
  </si>
  <si>
    <t xml:space="preserve">NO IMPRIMIR</t>
  </si>
  <si>
    <t xml:space="preserve">1. Generalidades </t>
  </si>
  <si>
    <r>
      <t xml:space="preserve">a) </t>
    </r>
    <r>
      <rPr>
        <b/>
        <sz val="11"/>
        <color theme="1"/>
        <rFont val="Calibri"/>
        <scheme val="minor"/>
      </rPr>
      <t xml:space="preserve">Objetivo del formato:</t>
    </r>
    <r>
      <rPr>
        <sz val="11"/>
        <color theme="1"/>
        <rFont val="Calibri"/>
        <scheme val="minor"/>
      </rPr>
      <t xml:space="preserve"> Crear cuentas de correo electrónico y usuario de directorio activo</t>
    </r>
  </si>
  <si>
    <r>
      <t xml:space="preserve">b) </t>
    </r>
    <r>
      <rPr>
        <b/>
        <sz val="11"/>
        <color theme="1"/>
        <rFont val="Calibri"/>
        <scheme val="minor"/>
      </rPr>
      <t xml:space="preserve">¿Si hay un procedimiento que refiera este formato?:</t>
    </r>
    <r>
      <rPr>
        <sz val="10"/>
        <rFont val="Arial"/>
      </rPr>
      <t xml:space="preserve"> </t>
    </r>
    <r>
      <rPr>
        <sz val="11"/>
        <color theme="1"/>
        <rFont val="Calibri"/>
        <scheme val="minor"/>
      </rPr>
      <t xml:space="preserve"> GTI-GO-016  Guía operacional Gestión de Accesos</t>
    </r>
  </si>
  <si>
    <r>
      <t xml:space="preserve">c) </t>
    </r>
    <r>
      <rPr>
        <b/>
        <sz val="11"/>
        <color theme="1"/>
        <rFont val="Calibri"/>
        <scheme val="minor"/>
      </rPr>
      <t xml:space="preserve">¿Quién(es) lo diligencian?</t>
    </r>
    <r>
      <rPr>
        <sz val="10"/>
        <rFont val="Arial"/>
      </rPr>
      <t>:</t>
    </r>
    <r>
      <rPr>
        <sz val="11"/>
        <color theme="1"/>
        <rFont val="Calibri"/>
        <scheme val="minor"/>
      </rPr>
      <t xml:space="preserve">Líderes TIC y funcionarios SENA</t>
    </r>
  </si>
  <si>
    <r>
      <t xml:space="preserve">d) </t>
    </r>
    <r>
      <rPr>
        <b/>
        <sz val="11"/>
        <color theme="1"/>
        <rFont val="Calibri"/>
        <scheme val="minor"/>
      </rPr>
      <t xml:space="preserve">Frecuencia de diligenciamiento</t>
    </r>
    <r>
      <rPr>
        <sz val="10"/>
        <rFont val="Arial"/>
      </rPr>
      <t>:</t>
    </r>
    <r>
      <rPr>
        <sz val="11"/>
        <color theme="1"/>
        <rFont val="Calibri"/>
        <scheme val="minor"/>
      </rPr>
      <t xml:space="preserve"> Por demanda</t>
    </r>
  </si>
  <si>
    <r>
      <t xml:space="preserve">e) </t>
    </r>
    <r>
      <rPr>
        <b/>
        <sz val="11"/>
        <color theme="1"/>
        <rFont val="Calibri"/>
        <scheme val="minor"/>
      </rPr>
      <t xml:space="preserve">Qué trámite surte el formato una vez diligenciado:</t>
    </r>
    <r>
      <rPr>
        <sz val="11"/>
        <color theme="1"/>
        <rFont val="Calibri"/>
        <scheme val="minor"/>
      </rPr>
      <t xml:space="preserve"> Se envía a la Mesa de Servicios</t>
    </r>
  </si>
  <si>
    <r>
      <t xml:space="preserve">f) </t>
    </r>
    <r>
      <rPr>
        <b/>
        <sz val="11"/>
        <color theme="1"/>
        <rFont val="Calibri"/>
        <scheme val="minor"/>
      </rPr>
      <t xml:space="preserve">Si se requiere imprimir:</t>
    </r>
    <r>
      <rPr>
        <sz val="11"/>
        <color theme="1"/>
        <rFont val="Calibri"/>
        <scheme val="minor"/>
      </rPr>
      <t xml:space="preserve"> No</t>
    </r>
  </si>
  <si>
    <r>
      <t xml:space="preserve">g) </t>
    </r>
    <r>
      <rPr>
        <b/>
        <sz val="11"/>
        <color theme="1"/>
        <rFont val="Calibri"/>
        <scheme val="minor"/>
      </rPr>
      <t xml:space="preserve">Quién lo guarda:</t>
    </r>
    <r>
      <rPr>
        <sz val="11"/>
        <color theme="1"/>
        <rFont val="Calibri"/>
        <scheme val="minor"/>
      </rPr>
      <t xml:space="preserve"> Se adjunta</t>
    </r>
    <r>
      <rPr>
        <sz val="11"/>
        <color theme="1"/>
        <rFont val="Calibri"/>
        <scheme val="minor"/>
      </rPr>
      <t xml:space="preserve"> al caso en la herramienta de gestión</t>
    </r>
  </si>
  <si>
    <t xml:space="preserve">2. Instrucciones para diligenciar las casillas</t>
  </si>
  <si>
    <t xml:space="preserve">NOMBRE DE LA CASILLA</t>
  </si>
  <si>
    <t>INSTRUCCIONES</t>
  </si>
  <si>
    <t xml:space="preserve">TENER EN CUENTA</t>
  </si>
  <si>
    <t xml:space="preserve">Datos del Autorizador</t>
  </si>
  <si>
    <t>Nombres</t>
  </si>
  <si>
    <t xml:space="preserve">Diligencie los nombres del autorizador</t>
  </si>
  <si>
    <t>Apellidos</t>
  </si>
  <si>
    <t xml:space="preserve">Diligencie los apellidos del autorizador</t>
  </si>
  <si>
    <t xml:space="preserve">Correo electrónico</t>
  </si>
  <si>
    <t xml:space="preserve">Diligencie el correo electrónico</t>
  </si>
  <si>
    <t xml:space="preserve">Diligencie los datos de la regional </t>
  </si>
  <si>
    <t>Ubicación</t>
  </si>
  <si>
    <t xml:space="preserve">Diligencie la ubicación del autorizador</t>
  </si>
  <si>
    <t xml:space="preserve">Solicitud de Cuentas de Red y Correo</t>
  </si>
  <si>
    <t>No.</t>
  </si>
  <si>
    <t xml:space="preserve">Número consecutivo de 1 a N.</t>
  </si>
  <si>
    <t xml:space="preserve">Seleccione el tipo de solicitud:
- Crear: El funcionario es nuevo
- Modificar: La cuenta existe y se va a modificar algún parámetro
- Activar: La cuenta existe pero se encuentra caducada
- Inactivar: Se requiere inactivar alguna cuenta existente</t>
  </si>
  <si>
    <t xml:space="preserve">Campo  obligatorio</t>
  </si>
  <si>
    <t xml:space="preserve">Correo electrónico Institucional</t>
  </si>
  <si>
    <t xml:space="preserve">Diligencie el correo electrónico institucional.
Solo para modificar, activar o eliminar.
</t>
  </si>
  <si>
    <r>
      <t xml:space="preserve">En caso de que el tipo de solicitud sea "</t>
    </r>
    <r>
      <rPr>
        <b/>
        <sz val="11"/>
        <color theme="1"/>
        <rFont val="Calibri"/>
        <scheme val="minor"/>
      </rPr>
      <t>Crear</t>
    </r>
    <r>
      <rPr>
        <sz val="11"/>
        <color theme="1"/>
        <rFont val="Calibri"/>
        <scheme val="minor"/>
      </rPr>
      <t xml:space="preserve">", por favor no diligenciar o dejar en blanco esta celda.
En caso de ser cuenta genérica coloque el nombre propuesto para la cuenta genérica. El nombre propuesto debe contener menos de 20 caracteres antes del @sena.edu.co</t>
    </r>
  </si>
  <si>
    <t xml:space="preserve">Diligencie los nombres del funcionario.</t>
  </si>
  <si>
    <t xml:space="preserve">En caso de ser cuenta genérica diligencie los nombres del responsable.
Campo  obligatorio</t>
  </si>
  <si>
    <t xml:space="preserve">Diligencie los apellidos del funcionario.</t>
  </si>
  <si>
    <t xml:space="preserve">En caso de ser cuenta genérica diligencie los apellidos del responsable.
Campo  obligatorio</t>
  </si>
  <si>
    <t xml:space="preserve">Documento de Identidad</t>
  </si>
  <si>
    <t xml:space="preserve">Diligencie el documento de identidad.</t>
  </si>
  <si>
    <t xml:space="preserve">Número Celular</t>
  </si>
  <si>
    <t xml:space="preserve">Diligencie el número celular</t>
  </si>
  <si>
    <t xml:space="preserve">Correo Personal</t>
  </si>
  <si>
    <t xml:space="preserve">Diligencie el correo electrónico personal</t>
  </si>
  <si>
    <t xml:space="preserve">Tipo de vinculación</t>
  </si>
  <si>
    <t xml:space="preserve">Seleccione de la lista desplegable
</t>
  </si>
  <si>
    <t>Cargo</t>
  </si>
  <si>
    <t xml:space="preserve">Seleccione de la lista desplegable</t>
  </si>
  <si>
    <t xml:space="preserve">Si su tipo de vinculación pertenece a Contratista por políticas del SENA su Rol / Cargo es Contratista.
Campo  obligatorio</t>
  </si>
  <si>
    <t xml:space="preserve">Seleccione su rol dentro de la entidad</t>
  </si>
  <si>
    <t xml:space="preserve">ID sede</t>
  </si>
  <si>
    <t xml:space="preserve">Relacione el id sede a la cual pertenece</t>
  </si>
  <si>
    <t xml:space="preserve">No modificar</t>
  </si>
  <si>
    <t xml:space="preserve">Regional </t>
  </si>
  <si>
    <t xml:space="preserve">Relacione la regional de la sede a la cual pertenece</t>
  </si>
  <si>
    <t xml:space="preserve">Nombre sede</t>
  </si>
  <si>
    <t xml:space="preserve">Seleccione la sede a la que pertenece según la regional a la que pertenezca.</t>
  </si>
  <si>
    <t xml:space="preserve">Dirección Sede</t>
  </si>
  <si>
    <t xml:space="preserve">Al seleccionar la ubicación automáticamente se pondrá en el campo dirección la localización registrada en la base de datos.</t>
  </si>
  <si>
    <t xml:space="preserve">Número EXT (IP)</t>
  </si>
  <si>
    <t xml:space="preserve">Número de la extensión IP asignada al funcionario.</t>
  </si>
  <si>
    <t xml:space="preserve">Diligenciar si aplica</t>
  </si>
  <si>
    <t xml:space="preserve">Fecha de terminación de Contrato (dd/mm/aaaa)</t>
  </si>
  <si>
    <t xml:space="preserve">Solo para contratistas y Aprendices.
Diligencie la fecha de terminación del contrato en el formato (dd/mm/aaaa).</t>
  </si>
  <si>
    <t>VPN</t>
  </si>
  <si>
    <t xml:space="preserve">Requiere acceso a VPN SI/NO</t>
  </si>
  <si>
    <t>Observaciones/Descripción</t>
  </si>
  <si>
    <t xml:space="preserve">Diligencie si tiene alguna observación adicional. En caso de ser una cuenta genérica diligencie el objetivo por el cual se desea crear esta cuenta.</t>
  </si>
  <si>
    <t xml:space="preserve">Solicitud de Cuentas de Correo Genéricas</t>
  </si>
  <si>
    <t xml:space="preserve">Seleccione el tipo de solicitud:
- Crear: se requiere una nueva cuenta de correo genérica
- Modificar: La cuenta existe y se va a modificar algún parámetro
- Activar: La cuenta existe pero se encuentra caducada
- Inactivar: Se requiere inactivar alguna cuenta existente</t>
  </si>
  <si>
    <t xml:space="preserve">Las cuentas de correo genéricas no corresponden a un usuario específico y son destinadas para uso central. Ejemplo: sedes, regionales, oficinas, áreas, dependencias, departamentos, divisiones, entre otras.</t>
  </si>
  <si>
    <t xml:space="preserve">Nombre propuesto</t>
  </si>
  <si>
    <t xml:space="preserve">El nombre propuesto debe contener menos de 20 caracteres antes del @sena.edu.co</t>
  </si>
  <si>
    <t>Responsable</t>
  </si>
  <si>
    <t xml:space="preserve">Diligencie el nombre completo del responsable de la cuenta genérica.</t>
  </si>
  <si>
    <t xml:space="preserve">Correo Institucional del responsable</t>
  </si>
  <si>
    <t xml:space="preserve">Diligencie el correo electrónico institucional del responsable</t>
  </si>
  <si>
    <t xml:space="preserve">Justificación de la solicitud para cuentas de correo genéricas</t>
  </si>
  <si>
    <t xml:space="preserve">Diligencie en detalle la justificación para la solicitud de las cuentas genéricas</t>
  </si>
  <si>
    <t xml:space="preserve">Versión: 04</t>
  </si>
  <si>
    <r>
      <t xml:space="preserve">Código: 
</t>
    </r>
    <r>
      <rPr>
        <sz val="10"/>
        <rFont val="Calibri"/>
        <scheme val="minor"/>
      </rPr>
      <t>GTI</t>
    </r>
    <r>
      <rPr>
        <sz val="10"/>
        <color theme="1"/>
        <rFont val="Calibri"/>
        <scheme val="minor"/>
      </rPr>
      <t>-F-029</t>
    </r>
  </si>
  <si>
    <t xml:space="preserve">Formato de petición de accesos de directorio activo y correo electrónico</t>
  </si>
  <si>
    <t xml:space="preserve">1. Datos del autorizador</t>
  </si>
  <si>
    <t xml:space="preserve">Correo electrónico del autorizador (@sena.edu.co)</t>
  </si>
  <si>
    <t xml:space="preserve">José Wilson</t>
  </si>
  <si>
    <t xml:space="preserve">Carrero Maldonado</t>
  </si>
  <si>
    <t>jcarrero@sena.edu.co</t>
  </si>
  <si>
    <t xml:space="preserve">Despacho Regional ( e )</t>
  </si>
  <si>
    <t xml:space="preserve">2. Solicitud de Cuentas de Red y Correo</t>
  </si>
  <si>
    <t xml:space="preserve">Tipo De Solicitud</t>
  </si>
  <si>
    <t xml:space="preserve">Correo electrónico institucional (@sena.edu.co)</t>
  </si>
  <si>
    <t xml:space="preserve">Documento de identidad</t>
  </si>
  <si>
    <t xml:space="preserve">Número celular</t>
  </si>
  <si>
    <t xml:space="preserve">Correo personal</t>
  </si>
  <si>
    <t xml:space="preserve">Rol </t>
  </si>
  <si>
    <t xml:space="preserve">Dirección sede</t>
  </si>
  <si>
    <t xml:space="preserve">ID sede </t>
  </si>
  <si>
    <t xml:space="preserve">Fecha de terminación de contrato (dd/mm/yy)</t>
  </si>
  <si>
    <t xml:space="preserve"> Funtion Concatenar</t>
  </si>
  <si>
    <t xml:space="preserve">Function Ubicación</t>
  </si>
  <si>
    <t xml:space="preserve">Funtion PBX</t>
  </si>
  <si>
    <t xml:space="preserve">3. Solicitud de Cuentas de Correo Genéricas</t>
  </si>
  <si>
    <t xml:space="preserve">Justificación de la Solicitud para Cuentas de correo genéricas</t>
  </si>
  <si>
    <t xml:space="preserve">Tipo de Solicitud</t>
  </si>
  <si>
    <r>
      <rPr>
        <b/>
        <sz val="12"/>
        <rFont val="Calibri"/>
        <scheme val="minor"/>
      </rPr>
      <t>RESPONSABILIDADES:</t>
    </r>
    <r>
      <rPr>
        <sz val="12"/>
        <rFont val="Calibri"/>
        <scheme val="minor"/>
      </rPr>
      <t xml:space="preserve">
Este documento debe estar debidamente diligenciado y deberá ser enviado a la MESA DE SERVICIO (mesadeservicio@sena.edu.co), teniendo la aprobación del Usuario Autorizador. 
Favor tener en cuenta las siguientes observaciones:
     • El usuario tendrá 16 horas hábiles para notificar al Usuario Autorizador o a la Mesa de servicio la funcionalidad de los accesos otorgados por correo electrónico, pasado este tiempo se dará por aceptado y cerrado.
     • La custodia de las solicitudes reposará en la MESA DE SERVICIO.
     • Todos los campos del formato deben diligenciarse de acuerdo con el tipo de solicitud (Cuenta de red y correo o Cuentas de correo genéricas) en su totalidad a menos que el campo indique lo contrario.  </t>
    </r>
  </si>
  <si>
    <t>Regionales</t>
  </si>
  <si>
    <t xml:space="preserve">Regional Bolivar</t>
  </si>
  <si>
    <t xml:space="preserve">Regional Cordoba</t>
  </si>
  <si>
    <t xml:space="preserve">Regional San Andres</t>
  </si>
  <si>
    <t xml:space="preserve">Sede DuitamaCiudadela Industrial</t>
  </si>
  <si>
    <t>SedeLorica</t>
  </si>
  <si>
    <t xml:space="preserve">IpcCentro De Logística Y Promoción Ecoturística Del Magdalena</t>
  </si>
  <si>
    <t xml:space="preserve">Spe Pasto</t>
  </si>
  <si>
    <t xml:space="preserve">Aula ItineranteCumaribo</t>
  </si>
  <si>
    <t xml:space="preserve">Sede ColonSintrasena</t>
  </si>
  <si>
    <t xml:space="preserve">Centro De Los Recursos Naturales Renovables La Salada</t>
  </si>
  <si>
    <t xml:space="preserve">SedeSantander De Quilichao</t>
  </si>
  <si>
    <t xml:space="preserve">Sede Centro De Desarrollo VecinalCdv</t>
  </si>
  <si>
    <t>SedePacho</t>
  </si>
  <si>
    <t xml:space="preserve">Centro De Electricidad, Electrónica Y TelecomunicacionesComplejo Sur</t>
  </si>
  <si>
    <t xml:space="preserve">Centro Para El Desarrollo Tecnológico De La Construcción Y La Industria</t>
  </si>
  <si>
    <t xml:space="preserve">Regional Vaupés 2</t>
  </si>
  <si>
    <t xml:space="preserve">SedePuerto Salgar</t>
  </si>
  <si>
    <t xml:space="preserve">Centro De Gestión IndustrialComplejo Paloquemao</t>
  </si>
  <si>
    <t xml:space="preserve">Centro De La Innovación La Tecnología Y Los ServiciosLa Gallera</t>
  </si>
  <si>
    <t xml:space="preserve">Centro Agropecuario Y De Servicios Ambientales JiriJirimo</t>
  </si>
  <si>
    <t xml:space="preserve">Centro Del Diseño Y Manufactura De CueroComplejo Sur</t>
  </si>
  <si>
    <t xml:space="preserve">SedeSan Juan De Rio Seco</t>
  </si>
  <si>
    <t xml:space="preserve">Centro Agroempresarial Y Acuícola Área Administrativa</t>
  </si>
  <si>
    <t xml:space="preserve">CiénagaCentro De Logística Y Promoción Ecoturística Del Magdalena</t>
  </si>
  <si>
    <t xml:space="preserve">Centro De Formación Turística Gente De Mar Y De Servicios</t>
  </si>
  <si>
    <t xml:space="preserve">Subsede Manuel Humberto Cardenas Tulipana</t>
  </si>
  <si>
    <t xml:space="preserve">Sede ÁlamosPlantas Agroindustriales</t>
  </si>
  <si>
    <t xml:space="preserve">Centro Industrial Y De Energías Alternativas Área Administrativa</t>
  </si>
  <si>
    <t xml:space="preserve">Subsede 2</t>
  </si>
  <si>
    <t xml:space="preserve">Regional Norte De SantanderBloque Formación Pescadero</t>
  </si>
  <si>
    <t xml:space="preserve">Sede Centro Nacional Colombo AlemánMalambo</t>
  </si>
  <si>
    <t xml:space="preserve">Centro de formación en actividad física y culturaOnassis</t>
  </si>
  <si>
    <t xml:space="preserve">Sede Confecciones Y MaderaComuneros</t>
  </si>
  <si>
    <t>SedeFontibón</t>
  </si>
  <si>
    <t xml:space="preserve">Centro Internacional De Producción LimpiaLope</t>
  </si>
  <si>
    <t xml:space="preserve">Sede BretañaCeai</t>
  </si>
  <si>
    <t>SedeUsme</t>
  </si>
  <si>
    <t xml:space="preserve">Centro De Formación Para El Desarrollo Rural Y MineroCedrum </t>
  </si>
  <si>
    <t>SedeCajicá</t>
  </si>
  <si>
    <t>SedeMeissen</t>
  </si>
  <si>
    <t xml:space="preserve">Tecnoparque Nodo Rionegro Escuela Gastronómica</t>
  </si>
  <si>
    <t xml:space="preserve">SedeLa Calera</t>
  </si>
  <si>
    <t xml:space="preserve">Centro De Formación En Actividad Física Y CulturaKennedy</t>
  </si>
  <si>
    <t xml:space="preserve">Centro Agroecológico Y Empresarial Quebrajacho</t>
  </si>
  <si>
    <t xml:space="preserve">Sena ClemSagrado Corazón De Jesus</t>
  </si>
  <si>
    <t xml:space="preserve">Centro De Electricidad Y Automatización IndustrialCeaiComplejo Salomia</t>
  </si>
  <si>
    <t xml:space="preserve">Tecnoacademia Hábitat De La Construcción Colegio Loyola</t>
  </si>
  <si>
    <t xml:space="preserve">Centro De Diseño Tecnológico IndustrialComplejo Salomia</t>
  </si>
  <si>
    <t xml:space="preserve">Subsede 3</t>
  </si>
  <si>
    <t xml:space="preserve">Centro Nacional De Asistencia Técnica A La IndustriaAstinComplejo Salomia</t>
  </si>
  <si>
    <t xml:space="preserve">Subsede 4</t>
  </si>
  <si>
    <t xml:space="preserve">Centro De Gestión Tecnológica De Servicios CgtsComplejo Salomia</t>
  </si>
  <si>
    <t xml:space="preserve">Centro De Formación Minero Ambiental El Bagre</t>
  </si>
  <si>
    <t xml:space="preserve">Centro De Diseño Y MetrologíaComplejo Paloquemao</t>
  </si>
  <si>
    <t xml:space="preserve">Sede AlternaRegional Antioquia</t>
  </si>
  <si>
    <t>SedeVillapinzón</t>
  </si>
  <si>
    <t xml:space="preserve">Centro Para La Industria De La Comunicación GráficaComplejo Paloquemao</t>
  </si>
  <si>
    <t xml:space="preserve">Sede NorteCEAI</t>
  </si>
  <si>
    <t>SedeZipaquirá</t>
  </si>
  <si>
    <t xml:space="preserve">Centro Nacional De Hotelería, Turismo Y AlimentosComplejo Paloquemao</t>
  </si>
  <si>
    <t xml:space="preserve">Unihorizonte Fundación Universitaria Horizonte</t>
  </si>
  <si>
    <t xml:space="preserve">Tecnoacademia Marinilla </t>
  </si>
  <si>
    <t xml:space="preserve">Centro De Formación En Diseño, Confección Y Moda Complejo Sur</t>
  </si>
  <si>
    <t xml:space="preserve">Centro Tecnológico Del Mobiliario Complejo Sur</t>
  </si>
  <si>
    <t xml:space="preserve">Centro De Tecnología De La Manufactura Avanzada Complejo Pedregal</t>
  </si>
  <si>
    <t>CAROLINA</t>
  </si>
  <si>
    <t xml:space="preserve">HERNANDEZ VARGAS</t>
  </si>
  <si>
    <t>cahernandezv@sena.edu.co</t>
  </si>
  <si>
    <t>ELIZABETH</t>
  </si>
  <si>
    <t xml:space="preserve">MUÑOZ PEÑUELA</t>
  </si>
  <si>
    <t>elizabethmuno30@gmail.com</t>
  </si>
  <si>
    <t xml:space="preserve">Bogotá Centro De Materiales Y Ensayos</t>
  </si>
  <si>
    <r>
      <rPr>
        <b/>
        <sz val="12"/>
        <rFont val="Calibri"/>
        <scheme val="minor"/>
      </rPr>
      <t>RESPONSABILIDADES:</t>
    </r>
    <r>
      <rPr>
        <sz val="12"/>
        <rFont val="Calibri"/>
        <scheme val="minor"/>
      </rPr>
      <t xml:space="preserve">
Este documento debe estar debidamente diligenciado y deberá ser enviado a la MESA DE SERVICIO (mesadeservicio@sena.edu.co), teniendo la aprobación del Usuario Autorizador. 
Favor tener en cuenta las siguientes observaciones:
     • El usuario tendrá 16 horas hábiles para notificar al Usuario Autorizador o a la Mesa de servicio la funcionalidad de los accesos otorgados por correo electrónico, pasado este tiempo se dará por aceptado y cerrado.
     • La custodia de las solicitudes reposará en la MESA DE SERVICIO.
     • Todos los campos del formato deben diligenciarse de acuerdo con el tipo de solicitud (Cuenta de red y correo o Cuentas de correo genéricas) en su totalidad a menos que el campo indique lo contrario.  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</si>
</sst>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[&lt;=9999999]###\-####;\(###\)\ ###\-####"/>
  </numFmts>
  <fonts count="29">
    <font>
      <sz val="10.000000"/>
      <color theme="1"/>
      <name val="Arial"/>
    </font>
    <font>
      <u/>
      <sz val="11.000000"/>
      <color theme="10"/>
      <name val="Calibri"/>
      <scheme val="minor"/>
    </font>
    <font>
      <u/>
      <sz val="10.000000"/>
      <color theme="10"/>
      <name val="Arial"/>
    </font>
    <font>
      <sz val="10.000000"/>
      <name val="Arial"/>
    </font>
    <font>
      <sz val="11.000000"/>
      <color theme="1"/>
      <name val="Calibri"/>
      <scheme val="minor"/>
    </font>
    <font>
      <sz val="16.000000"/>
      <name val="Arial"/>
    </font>
    <font>
      <b/>
      <sz val="16.000000"/>
      <color theme="0"/>
      <name val="Arial"/>
    </font>
    <font>
      <sz val="16.000000"/>
      <color theme="1"/>
      <name val="Arial"/>
    </font>
    <font>
      <sz val="12.000000"/>
      <name val="Calibri"/>
      <scheme val="minor"/>
    </font>
    <font>
      <sz val="12.000000"/>
      <color theme="1"/>
      <name val="Calibri"/>
      <scheme val="minor"/>
    </font>
    <font>
      <b/>
      <sz val="14.000000"/>
      <color theme="0"/>
      <name val="Calibri"/>
      <scheme val="minor"/>
    </font>
    <font>
      <sz val="10.000000"/>
      <color theme="1"/>
      <name val="Calibri"/>
      <scheme val="minor"/>
    </font>
    <font>
      <b/>
      <sz val="14.000000"/>
      <name val="Calibri"/>
      <scheme val="minor"/>
    </font>
    <font>
      <b/>
      <sz val="14.000000"/>
      <name val="Calibri"/>
    </font>
    <font>
      <b/>
      <sz val="14.000000"/>
      <color theme="0"/>
      <name val="Calibri"/>
    </font>
    <font>
      <b/>
      <sz val="12.000000"/>
      <color theme="0"/>
      <name val="Calibri"/>
      <scheme val="minor"/>
    </font>
    <font>
      <sz val="11.000000"/>
      <name val="Calibri"/>
      <scheme val="minor"/>
    </font>
    <font>
      <b/>
      <sz val="12.000000"/>
      <name val="Calibri"/>
      <scheme val="minor"/>
    </font>
    <font>
      <sz val="10.000000"/>
      <name val="Calibri"/>
      <scheme val="minor"/>
    </font>
    <font>
      <b/>
      <sz val="11.000000"/>
      <name val="Calibri"/>
      <scheme val="minor"/>
    </font>
    <font>
      <b/>
      <sz val="12.000000"/>
      <color theme="1"/>
      <name val="Calibri"/>
      <scheme val="minor"/>
    </font>
    <font>
      <u/>
      <sz val="11.000000"/>
      <color theme="1"/>
      <name val="Calibri"/>
      <scheme val="minor"/>
    </font>
    <font>
      <b/>
      <i/>
      <sz val="10.000000"/>
      <name val="Calibri"/>
      <scheme val="minor"/>
    </font>
    <font>
      <b/>
      <sz val="10.000000"/>
      <color indexed="2"/>
      <name val="Calibri"/>
      <scheme val="minor"/>
    </font>
    <font>
      <b/>
      <sz val="10.000000"/>
      <name val="Calibri"/>
      <scheme val="minor"/>
    </font>
    <font>
      <b/>
      <sz val="13.500000"/>
      <name val="Calibri"/>
      <scheme val="minor"/>
    </font>
    <font>
      <u/>
      <sz val="12.000000"/>
      <color theme="10"/>
      <name val="Calibri"/>
      <scheme val="minor"/>
    </font>
    <font>
      <b/>
      <i/>
      <sz val="12.000000"/>
      <name val="Calibri"/>
      <scheme val="minor"/>
    </font>
    <font>
      <b/>
      <sz val="12.000000"/>
      <color indexed="2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</patternFill>
    </fill>
    <fill>
      <patternFill patternType="solid">
        <fgColor theme="1"/>
      </patternFill>
    </fill>
    <fill>
      <patternFill patternType="solid">
        <fgColor rgb="FF575757"/>
      </patternFill>
    </fill>
  </fills>
  <borders count="1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ck">
        <color theme="0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theme="4" tint="0.39997558519241921"/>
      </top>
      <bottom style="none"/>
      <diagonal style="none"/>
    </border>
    <border>
      <left style="none"/>
      <right style="none"/>
      <top style="thin">
        <color theme="4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</borders>
  <cellStyleXfs count="10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2" fillId="0" borderId="0" numFmtId="0" applyNumberFormat="0" applyFont="1" applyFill="0" applyBorder="0" applyProtection="0"/>
    <xf fontId="3" fillId="0" borderId="0" numFmtId="164" applyNumberFormat="1" applyFont="0" applyFill="0" applyBorder="0" applyProtection="0"/>
    <xf fontId="3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  <xf fontId="4" fillId="0" borderId="0" numFmtId="0" applyNumberFormat="1" applyFont="1" applyFill="1" applyBorder="1"/>
  </cellStyleXfs>
  <cellXfs count="191">
    <xf fontId="0" fillId="0" borderId="0" numFmtId="0" xfId="0"/>
    <xf fontId="5" fillId="0" borderId="0" numFmtId="0" xfId="0" applyFont="1"/>
    <xf fontId="5" fillId="0" borderId="0" numFmtId="0" xfId="0" applyFont="1" applyAlignment="1">
      <alignment horizontal="center"/>
    </xf>
    <xf fontId="6" fillId="2" borderId="0" numFmtId="0" xfId="0" applyFont="1" applyFill="1" applyAlignment="1">
      <alignment horizontal="center"/>
    </xf>
    <xf fontId="6" fillId="2" borderId="1" numFmtId="0" xfId="0" applyFont="1" applyFill="1" applyBorder="1" applyAlignment="1">
      <alignment horizontal="center"/>
    </xf>
    <xf fontId="3" fillId="0" borderId="0" numFmtId="0" xfId="0" applyFont="1"/>
    <xf fontId="7" fillId="3" borderId="2" numFmtId="0" xfId="0" applyFont="1" applyFill="1" applyBorder="1"/>
    <xf fontId="7" fillId="0" borderId="2" numFmtId="0" xfId="0" applyFont="1" applyBorder="1"/>
    <xf fontId="7" fillId="0" borderId="0" numFmtId="0" xfId="0" applyFont="1"/>
    <xf fontId="7" fillId="0" borderId="3" numFmtId="0" xfId="0" applyFont="1" applyBorder="1"/>
    <xf fontId="7" fillId="4" borderId="4" numFmtId="0" xfId="0" applyFont="1" applyFill="1" applyBorder="1"/>
    <xf fontId="7" fillId="4" borderId="2" numFmtId="0" xfId="0" applyFont="1" applyFill="1" applyBorder="1"/>
    <xf fontId="7" fillId="0" borderId="5" numFmtId="0" xfId="0" applyFont="1" applyBorder="1"/>
    <xf fontId="7" fillId="0" borderId="6" numFmtId="0" xfId="0" applyFont="1" applyBorder="1"/>
    <xf fontId="0" fillId="0" borderId="0" numFmtId="0" xfId="0" applyAlignment="1">
      <alignment vertical="center"/>
    </xf>
    <xf fontId="4" fillId="5" borderId="0" numFmtId="0" xfId="9" applyFont="1" applyFill="1"/>
    <xf fontId="4" fillId="5" borderId="0" numFmtId="0" xfId="9" applyFont="1" applyFill="1" applyAlignment="1">
      <alignment vertical="center"/>
    </xf>
    <xf fontId="8" fillId="5" borderId="3" numFmtId="0" xfId="0" applyFont="1" applyFill="1" applyBorder="1" applyAlignment="1" applyProtection="1">
      <alignment horizontal="center"/>
      <protection locked="0"/>
    </xf>
    <xf fontId="9" fillId="0" borderId="3" numFmtId="0" xfId="0" applyFont="1" applyBorder="1" applyAlignment="1" applyProtection="1">
      <alignment horizontal="center" vertical="center"/>
      <protection locked="0"/>
    </xf>
    <xf fontId="9" fillId="0" borderId="3" numFmtId="0" xfId="0" applyFont="1" applyBorder="1" applyAlignment="1" applyProtection="1">
      <alignment horizontal="center" vertical="center" wrapText="1"/>
      <protection locked="0"/>
    </xf>
    <xf fontId="10" fillId="6" borderId="7" numFmtId="0" xfId="0" applyFont="1" applyFill="1" applyBorder="1" applyAlignment="1">
      <alignment horizontal="center" vertical="center" wrapText="1"/>
    </xf>
    <xf fontId="10" fillId="6" borderId="8" numFmtId="0" xfId="0" applyFont="1" applyFill="1" applyBorder="1" applyAlignment="1">
      <alignment horizontal="center" vertical="center" wrapText="1"/>
    </xf>
    <xf fontId="10" fillId="6" borderId="9" numFmtId="0" xfId="0" applyFont="1" applyFill="1" applyBorder="1" applyAlignment="1">
      <alignment horizontal="center" vertical="center" wrapText="1"/>
    </xf>
    <xf fontId="11" fillId="0" borderId="3" numFmtId="0" xfId="9" applyFont="1" applyBorder="1" applyAlignment="1">
      <alignment horizontal="center" vertical="center"/>
    </xf>
    <xf fontId="11" fillId="5" borderId="0" numFmtId="0" xfId="9" applyFont="1" applyFill="1"/>
    <xf fontId="12" fillId="0" borderId="7" numFmtId="0" xfId="0" applyFont="1" applyBorder="1" applyAlignment="1">
      <alignment horizontal="center" vertical="center" wrapText="1"/>
    </xf>
    <xf fontId="12" fillId="0" borderId="8" numFmtId="0" xfId="0" applyFont="1" applyBorder="1" applyAlignment="1">
      <alignment horizontal="center" vertical="center" wrapText="1"/>
    </xf>
    <xf fontId="12" fillId="0" borderId="9" numFmtId="0" xfId="0" applyFont="1" applyBorder="1" applyAlignment="1">
      <alignment horizontal="center" vertical="center" wrapText="1"/>
    </xf>
    <xf fontId="12" fillId="0" borderId="7" numFmtId="0" xfId="0" applyFont="1" applyBorder="1" applyAlignment="1">
      <alignment horizontal="left" vertical="center" wrapText="1"/>
    </xf>
    <xf fontId="12" fillId="0" borderId="9" numFmtId="0" xfId="0" applyFont="1" applyBorder="1" applyAlignment="1">
      <alignment horizontal="left" vertical="center" wrapText="1"/>
    </xf>
    <xf fontId="12" fillId="0" borderId="8" numFmtId="0" xfId="0" applyFont="1" applyBorder="1" applyAlignment="1">
      <alignment horizontal="left" vertical="center" wrapText="1"/>
    </xf>
    <xf fontId="13" fillId="0" borderId="7" numFmtId="0" xfId="9" applyFont="1" applyBorder="1" applyAlignment="1">
      <alignment horizontal="center" vertical="center" wrapText="1"/>
    </xf>
    <xf fontId="13" fillId="0" borderId="8" numFmtId="0" xfId="9" applyFont="1" applyBorder="1" applyAlignment="1">
      <alignment horizontal="center" vertical="center" wrapText="1"/>
    </xf>
    <xf fontId="13" fillId="0" borderId="9" numFmtId="0" xfId="9" applyFont="1" applyBorder="1" applyAlignment="1">
      <alignment horizontal="center" vertical="center" wrapText="1"/>
    </xf>
    <xf fontId="14" fillId="7" borderId="7" numFmtId="0" xfId="9" applyFont="1" applyFill="1" applyBorder="1" applyAlignment="1">
      <alignment horizontal="center"/>
    </xf>
    <xf fontId="14" fillId="7" borderId="8" numFmtId="0" xfId="9" applyFont="1" applyFill="1" applyBorder="1" applyAlignment="1">
      <alignment horizontal="center"/>
    </xf>
    <xf fontId="14" fillId="7" borderId="9" numFmtId="0" xfId="9" applyFont="1" applyFill="1" applyBorder="1" applyAlignment="1">
      <alignment horizontal="center"/>
    </xf>
    <xf fontId="4" fillId="0" borderId="7" numFmtId="0" xfId="9" applyFont="1" applyBorder="1" applyAlignment="1">
      <alignment horizontal="left"/>
    </xf>
    <xf fontId="4" fillId="0" borderId="8" numFmtId="0" xfId="9" applyFont="1" applyBorder="1" applyAlignment="1">
      <alignment horizontal="left"/>
    </xf>
    <xf fontId="4" fillId="0" borderId="9" numFmtId="0" xfId="9" applyFont="1" applyBorder="1" applyAlignment="1">
      <alignment horizontal="left"/>
    </xf>
    <xf fontId="10" fillId="7" borderId="10" numFmtId="0" xfId="9" applyFont="1" applyFill="1" applyBorder="1" applyAlignment="1">
      <alignment horizontal="center"/>
    </xf>
    <xf fontId="10" fillId="7" borderId="2" numFmtId="0" xfId="9" applyFont="1" applyFill="1" applyBorder="1" applyAlignment="1">
      <alignment horizontal="center"/>
    </xf>
    <xf fontId="10" fillId="7" borderId="11" numFmtId="0" xfId="9" applyFont="1" applyFill="1" applyBorder="1" applyAlignment="1">
      <alignment horizontal="center"/>
    </xf>
    <xf fontId="10" fillId="5" borderId="0" numFmtId="0" xfId="9" applyFont="1" applyFill="1" applyAlignment="1">
      <alignment horizontal="center"/>
    </xf>
    <xf fontId="15" fillId="7" borderId="12" numFmtId="0" xfId="9" applyFont="1" applyFill="1" applyBorder="1" applyAlignment="1">
      <alignment horizontal="center" vertical="center"/>
    </xf>
    <xf fontId="15" fillId="7" borderId="13" numFmtId="0" xfId="9" applyFont="1" applyFill="1" applyBorder="1" applyAlignment="1">
      <alignment horizontal="center" vertical="center"/>
    </xf>
    <xf fontId="15" fillId="7" borderId="14" numFmtId="0" xfId="9" applyFont="1" applyFill="1" applyBorder="1" applyAlignment="1">
      <alignment horizontal="center" vertical="center"/>
    </xf>
    <xf fontId="15" fillId="7" borderId="15" numFmtId="0" xfId="9" applyFont="1" applyFill="1" applyBorder="1" applyAlignment="1">
      <alignment horizontal="center" vertical="center"/>
    </xf>
    <xf fontId="15" fillId="7" borderId="7" numFmtId="0" xfId="4" applyFont="1" applyFill="1" applyBorder="1" applyAlignment="1">
      <alignment horizontal="center" vertical="center" wrapText="1"/>
    </xf>
    <xf fontId="15" fillId="7" borderId="8" numFmtId="0" xfId="4" applyFont="1" applyFill="1" applyBorder="1" applyAlignment="1">
      <alignment horizontal="center" vertical="center" wrapText="1"/>
    </xf>
    <xf fontId="15" fillId="7" borderId="9" numFmtId="0" xfId="4" applyFont="1" applyFill="1" applyBorder="1" applyAlignment="1">
      <alignment horizontal="center" vertical="center" wrapText="1"/>
    </xf>
    <xf fontId="16" fillId="0" borderId="3" numFmtId="0" xfId="9" applyFont="1" applyBorder="1" applyAlignment="1">
      <alignment horizontal="left" vertical="center" wrapText="1"/>
    </xf>
    <xf fontId="4" fillId="0" borderId="3" numFmtId="0" xfId="9" applyFont="1" applyBorder="1" applyAlignment="1">
      <alignment horizontal="left" vertical="center" wrapText="1"/>
    </xf>
    <xf fontId="4" fillId="0" borderId="7" numFmtId="0" xfId="9" applyFont="1" applyBorder="1" applyAlignment="1">
      <alignment horizontal="left" vertical="center" wrapText="1"/>
    </xf>
    <xf fontId="4" fillId="0" borderId="8" numFmtId="0" xfId="9" applyFont="1" applyBorder="1" applyAlignment="1">
      <alignment horizontal="left" vertical="center" wrapText="1"/>
    </xf>
    <xf fontId="4" fillId="0" borderId="9" numFmtId="0" xfId="9" applyFont="1" applyBorder="1" applyAlignment="1">
      <alignment horizontal="left" vertical="center" wrapText="1"/>
    </xf>
    <xf fontId="4" fillId="0" borderId="7" numFmtId="0" xfId="9" applyFont="1" applyBorder="1" applyAlignment="1">
      <alignment horizontal="center" vertical="center" wrapText="1"/>
    </xf>
    <xf fontId="4" fillId="0" borderId="8" numFmtId="0" xfId="9" applyFont="1" applyBorder="1" applyAlignment="1">
      <alignment horizontal="center" vertical="center" wrapText="1"/>
    </xf>
    <xf fontId="4" fillId="0" borderId="9" numFmtId="0" xfId="9" applyFont="1" applyBorder="1" applyAlignment="1">
      <alignment horizontal="center" vertical="center" wrapText="1"/>
    </xf>
    <xf fontId="8" fillId="5" borderId="3" numFmtId="0" xfId="4" applyFont="1" applyFill="1" applyBorder="1" applyAlignment="1">
      <alignment horizontal="left" vertical="center" wrapText="1"/>
    </xf>
    <xf fontId="8" fillId="5" borderId="7" numFmtId="0" xfId="4" applyFont="1" applyFill="1" applyBorder="1" applyAlignment="1">
      <alignment horizontal="left" vertical="center" wrapText="1"/>
    </xf>
    <xf fontId="8" fillId="5" borderId="8" numFmtId="0" xfId="4" applyFont="1" applyFill="1" applyBorder="1" applyAlignment="1">
      <alignment horizontal="left" vertical="center" wrapText="1"/>
    </xf>
    <xf fontId="8" fillId="5" borderId="9" numFmtId="0" xfId="4" applyFont="1" applyFill="1" applyBorder="1" applyAlignment="1">
      <alignment horizontal="left" vertical="center" wrapText="1"/>
    </xf>
    <xf fontId="15" fillId="5" borderId="7" numFmtId="0" xfId="4" applyFont="1" applyFill="1" applyBorder="1" applyAlignment="1">
      <alignment horizontal="center" vertical="center" wrapText="1"/>
    </xf>
    <xf fontId="15" fillId="5" borderId="8" numFmtId="0" xfId="4" applyFont="1" applyFill="1" applyBorder="1" applyAlignment="1">
      <alignment horizontal="center" vertical="center" wrapText="1"/>
    </xf>
    <xf fontId="15" fillId="5" borderId="9" numFmtId="0" xfId="4" applyFont="1" applyFill="1" applyBorder="1" applyAlignment="1">
      <alignment horizontal="center" vertical="center" wrapText="1"/>
    </xf>
    <xf fontId="4" fillId="0" borderId="7" numFmtId="0" xfId="9" applyFont="1" applyBorder="1" applyAlignment="1">
      <alignment horizontal="justify" vertical="center" wrapText="1"/>
    </xf>
    <xf fontId="4" fillId="0" borderId="8" numFmtId="0" xfId="9" applyFont="1" applyBorder="1" applyAlignment="1">
      <alignment horizontal="justify" vertical="center" wrapText="1"/>
    </xf>
    <xf fontId="4" fillId="0" borderId="9" numFmtId="0" xfId="9" applyFont="1" applyBorder="1" applyAlignment="1">
      <alignment horizontal="justify" vertical="center" wrapText="1"/>
    </xf>
    <xf fontId="4" fillId="0" borderId="7" numFmtId="0" xfId="9" applyFont="1" applyBorder="1" applyAlignment="1">
      <alignment horizontal="left" vertical="top" wrapText="1"/>
    </xf>
    <xf fontId="4" fillId="0" borderId="8" numFmtId="0" xfId="9" applyFont="1" applyBorder="1" applyAlignment="1">
      <alignment horizontal="left" vertical="top" wrapText="1"/>
    </xf>
    <xf fontId="4" fillId="0" borderId="9" numFmtId="0" xfId="9" applyFont="1" applyBorder="1" applyAlignment="1">
      <alignment horizontal="left" vertical="top" wrapText="1"/>
    </xf>
    <xf fontId="4" fillId="0" borderId="16" numFmtId="0" xfId="9" applyFont="1" applyBorder="1" applyAlignment="1">
      <alignment horizontal="left" vertical="center" wrapText="1"/>
    </xf>
    <xf fontId="4" fillId="0" borderId="0" numFmtId="0" xfId="9" applyFont="1" applyAlignment="1">
      <alignment horizontal="left" vertical="center" wrapText="1"/>
    </xf>
    <xf fontId="17" fillId="5" borderId="7" numFmtId="0" xfId="4" applyFont="1" applyFill="1" applyBorder="1" applyAlignment="1">
      <alignment horizontal="center" vertical="center" wrapText="1"/>
    </xf>
    <xf fontId="17" fillId="5" borderId="8" numFmtId="0" xfId="4" applyFont="1" applyFill="1" applyBorder="1" applyAlignment="1">
      <alignment horizontal="center" vertical="center" wrapText="1"/>
    </xf>
    <xf fontId="17" fillId="5" borderId="9" numFmtId="0" xfId="4" applyFont="1" applyFill="1" applyBorder="1" applyAlignment="1">
      <alignment horizontal="center" vertical="center" wrapText="1"/>
    </xf>
    <xf fontId="4" fillId="0" borderId="3" numFmtId="0" xfId="9" applyFont="1" applyBorder="1" applyAlignment="1">
      <alignment horizontal="justify" vertical="center" wrapText="1"/>
    </xf>
    <xf fontId="4" fillId="0" borderId="10" numFmtId="0" xfId="9" applyFont="1" applyBorder="1" applyAlignment="1">
      <alignment horizontal="center" vertical="center" wrapText="1"/>
    </xf>
    <xf fontId="4" fillId="0" borderId="2" numFmtId="0" xfId="9" applyFont="1" applyBorder="1" applyAlignment="1">
      <alignment horizontal="center" vertical="center" wrapText="1"/>
    </xf>
    <xf fontId="4" fillId="0" borderId="11" numFmtId="0" xfId="9" applyFont="1" applyBorder="1" applyAlignment="1">
      <alignment horizontal="center" vertical="center" wrapText="1"/>
    </xf>
    <xf fontId="4" fillId="0" borderId="16" numFmtId="0" xfId="9" applyFont="1" applyBorder="1" applyAlignment="1">
      <alignment horizontal="center" vertical="center" wrapText="1"/>
    </xf>
    <xf fontId="4" fillId="0" borderId="0" numFmtId="0" xfId="9" applyFont="1" applyAlignment="1">
      <alignment horizontal="center" vertical="center" wrapText="1"/>
    </xf>
    <xf fontId="4" fillId="0" borderId="17" numFmtId="0" xfId="9" applyFont="1" applyBorder="1" applyAlignment="1">
      <alignment horizontal="center" vertical="center" wrapText="1"/>
    </xf>
    <xf fontId="4" fillId="0" borderId="13" numFmtId="0" xfId="9" applyFont="1" applyBorder="1" applyAlignment="1">
      <alignment horizontal="center" vertical="center" wrapText="1"/>
    </xf>
    <xf fontId="4" fillId="0" borderId="14" numFmtId="0" xfId="9" applyFont="1" applyBorder="1" applyAlignment="1">
      <alignment horizontal="center" vertical="center" wrapText="1"/>
    </xf>
    <xf fontId="4" fillId="0" borderId="15" numFmtId="0" xfId="9" applyFont="1" applyBorder="1" applyAlignment="1">
      <alignment horizontal="center" vertical="center" wrapText="1"/>
    </xf>
    <xf fontId="4" fillId="5" borderId="3" numFmtId="0" xfId="9" applyFont="1" applyFill="1" applyBorder="1" applyAlignment="1">
      <alignment wrapText="1"/>
    </xf>
    <xf fontId="4" fillId="5" borderId="7" numFmtId="0" xfId="9" applyFont="1" applyFill="1" applyBorder="1" applyAlignment="1">
      <alignment horizontal="left" vertical="center" wrapText="1"/>
    </xf>
    <xf fontId="4" fillId="5" borderId="8" numFmtId="0" xfId="9" applyFont="1" applyFill="1" applyBorder="1" applyAlignment="1">
      <alignment horizontal="left" vertical="center" wrapText="1"/>
    </xf>
    <xf fontId="4" fillId="5" borderId="9" numFmtId="0" xfId="9" applyFont="1" applyFill="1" applyBorder="1" applyAlignment="1">
      <alignment horizontal="left" vertical="center" wrapText="1"/>
    </xf>
    <xf fontId="4" fillId="5" borderId="7" numFmtId="0" xfId="9" applyFont="1" applyFill="1" applyBorder="1" applyAlignment="1">
      <alignment horizontal="center"/>
    </xf>
    <xf fontId="4" fillId="5" borderId="8" numFmtId="0" xfId="9" applyFont="1" applyFill="1" applyBorder="1" applyAlignment="1">
      <alignment horizontal="center"/>
    </xf>
    <xf fontId="4" fillId="5" borderId="9" numFmtId="0" xfId="9" applyFont="1" applyFill="1" applyBorder="1" applyAlignment="1">
      <alignment horizontal="center"/>
    </xf>
    <xf fontId="18" fillId="0" borderId="0" numFmtId="0" xfId="0" applyFont="1" applyAlignment="1" applyProtection="1">
      <alignment horizontal="left" vertical="top" wrapText="1"/>
      <protection locked="0"/>
    </xf>
    <xf fontId="18" fillId="0" borderId="0" numFmtId="0" xfId="0" applyFont="1" applyProtection="1">
      <protection locked="0"/>
    </xf>
    <xf fontId="18" fillId="5" borderId="10" numFmtId="0" xfId="0" applyFont="1" applyFill="1" applyBorder="1" applyAlignment="1" applyProtection="1">
      <alignment horizontal="center"/>
      <protection locked="0"/>
    </xf>
    <xf fontId="18" fillId="5" borderId="2" numFmtId="0" xfId="0" applyFont="1" applyFill="1" applyBorder="1" applyAlignment="1" applyProtection="1">
      <alignment horizontal="center"/>
      <protection locked="0"/>
    </xf>
    <xf fontId="18" fillId="5" borderId="11" numFmtId="0" xfId="0" applyFont="1" applyFill="1" applyBorder="1" applyAlignment="1" applyProtection="1">
      <alignment horizontal="center"/>
      <protection locked="0"/>
    </xf>
    <xf fontId="11" fillId="0" borderId="3" numFmtId="0" xfId="0" applyFont="1" applyBorder="1" applyAlignment="1" applyProtection="1">
      <alignment horizontal="center" vertical="center"/>
      <protection locked="0"/>
    </xf>
    <xf fontId="18" fillId="5" borderId="13" numFmtId="0" xfId="0" applyFont="1" applyFill="1" applyBorder="1" applyAlignment="1" applyProtection="1">
      <alignment horizontal="center"/>
      <protection locked="0"/>
    </xf>
    <xf fontId="18" fillId="5" borderId="14" numFmtId="0" xfId="0" applyFont="1" applyFill="1" applyBorder="1" applyAlignment="1" applyProtection="1">
      <alignment horizontal="center"/>
      <protection locked="0"/>
    </xf>
    <xf fontId="18" fillId="5" borderId="15" numFmtId="0" xfId="0" applyFont="1" applyFill="1" applyBorder="1" applyAlignment="1" applyProtection="1">
      <alignment horizontal="center"/>
      <protection locked="0"/>
    </xf>
    <xf fontId="11" fillId="0" borderId="3" numFmtId="0" xfId="0" applyFont="1" applyBorder="1" applyAlignment="1" applyProtection="1">
      <alignment horizontal="center" vertical="center" wrapText="1"/>
      <protection locked="0"/>
    </xf>
    <xf fontId="10" fillId="7" borderId="7" numFmtId="0" xfId="0" applyFont="1" applyFill="1" applyBorder="1" applyAlignment="1" applyProtection="1">
      <alignment horizontal="center" vertical="center" wrapText="1"/>
      <protection locked="0"/>
    </xf>
    <xf fontId="10" fillId="7" borderId="8" numFmtId="0" xfId="0" applyFont="1" applyFill="1" applyBorder="1" applyAlignment="1" applyProtection="1">
      <alignment horizontal="center" vertical="center" wrapText="1"/>
      <protection locked="0"/>
    </xf>
    <xf fontId="10" fillId="7" borderId="9" numFmtId="0" xfId="0" applyFont="1" applyFill="1" applyBorder="1" applyAlignment="1" applyProtection="1">
      <alignment horizontal="center" vertical="center" wrapText="1"/>
      <protection locked="0"/>
    </xf>
    <xf fontId="15" fillId="7" borderId="7" numFmtId="0" xfId="0" applyFont="1" applyFill="1" applyBorder="1" applyAlignment="1" applyProtection="1">
      <alignment horizontal="center" vertical="center" wrapText="1"/>
      <protection locked="0"/>
    </xf>
    <xf fontId="15" fillId="7" borderId="8" numFmtId="0" xfId="0" applyFont="1" applyFill="1" applyBorder="1" applyAlignment="1" applyProtection="1">
      <alignment horizontal="center" vertical="center" wrapText="1"/>
      <protection locked="0"/>
    </xf>
    <xf fontId="15" fillId="7" borderId="9" numFmtId="0" xfId="0" applyFont="1" applyFill="1" applyBorder="1" applyAlignment="1" applyProtection="1">
      <alignment horizontal="center" vertical="center" wrapText="1"/>
      <protection locked="0"/>
    </xf>
    <xf fontId="18" fillId="0" borderId="3" numFmtId="0" xfId="0" applyFont="1" applyBorder="1" applyAlignment="1" applyProtection="1">
      <alignment horizontal="left" vertical="top" wrapText="1"/>
      <protection locked="0"/>
    </xf>
    <xf fontId="19" fillId="0" borderId="3" numFmtId="0" xfId="0" applyFont="1" applyBorder="1" applyAlignment="1" applyProtection="1">
      <alignment horizontal="center" vertical="top" wrapText="1"/>
      <protection locked="0"/>
    </xf>
    <xf fontId="19" fillId="0" borderId="7" numFmtId="0" xfId="0" applyFont="1" applyBorder="1" applyAlignment="1" applyProtection="1">
      <alignment horizontal="center" vertical="top" wrapText="1"/>
      <protection locked="0"/>
    </xf>
    <xf fontId="19" fillId="0" borderId="8" numFmtId="0" xfId="0" applyFont="1" applyBorder="1" applyAlignment="1" applyProtection="1">
      <alignment horizontal="center" vertical="top" wrapText="1"/>
      <protection locked="0"/>
    </xf>
    <xf fontId="19" fillId="0" borderId="9" numFmtId="0" xfId="0" applyFont="1" applyBorder="1" applyAlignment="1" applyProtection="1">
      <alignment horizontal="center" vertical="top" wrapText="1"/>
      <protection locked="0"/>
    </xf>
    <xf fontId="16" fillId="0" borderId="7" numFmtId="0" xfId="0" applyFont="1" applyBorder="1" applyAlignment="1" applyProtection="1">
      <alignment horizontal="center" vertical="center" wrapText="1"/>
      <protection locked="0"/>
    </xf>
    <xf fontId="16" fillId="0" borderId="8" numFmtId="0" xfId="0" applyFont="1" applyBorder="1" applyAlignment="1" applyProtection="1">
      <alignment horizontal="center" vertical="center" wrapText="1"/>
      <protection locked="0"/>
    </xf>
    <xf fontId="16" fillId="0" borderId="9" numFmtId="0" xfId="0" applyFont="1" applyBorder="1" applyAlignment="1" applyProtection="1">
      <alignment horizontal="center" vertical="center" wrapText="1"/>
      <protection locked="0"/>
    </xf>
    <xf fontId="15" fillId="7" borderId="3" numFmtId="0" xfId="0" applyFont="1" applyFill="1" applyBorder="1" applyAlignment="1" applyProtection="1">
      <alignment horizontal="center" vertical="center" wrapText="1"/>
      <protection locked="0"/>
    </xf>
    <xf fontId="15" fillId="7" borderId="3" numFmtId="0" xfId="0" applyFont="1" applyFill="1" applyBorder="1" applyAlignment="1">
      <alignment horizontal="center" vertical="center" wrapText="1"/>
    </xf>
    <xf fontId="15" fillId="7" borderId="11" numFmtId="0" xfId="0" applyFont="1" applyFill="1" applyBorder="1" applyAlignment="1" applyProtection="1">
      <alignment horizontal="center" vertical="center" wrapText="1"/>
      <protection locked="0"/>
    </xf>
    <xf fontId="11" fillId="0" borderId="3" numFmtId="0" xfId="0" applyFont="1" applyBorder="1" applyAlignment="1" applyProtection="1">
      <alignment horizontal="left" vertical="top" wrapText="1"/>
      <protection locked="0"/>
    </xf>
    <xf fontId="9" fillId="0" borderId="3" numFmtId="0" xfId="0" applyFont="1" applyBorder="1" applyAlignment="1">
      <alignment horizontal="center" vertical="center" wrapText="1"/>
    </xf>
    <xf fontId="4" fillId="0" borderId="3" numFmtId="49" xfId="0" applyNumberFormat="1" applyFont="1" applyBorder="1" applyAlignment="1" applyProtection="1">
      <alignment horizontal="center" vertical="center" wrapText="1"/>
      <protection locked="0"/>
    </xf>
    <xf fontId="1" fillId="0" borderId="3" numFmtId="0" xfId="1" applyFont="1" applyBorder="1" applyAlignment="1">
      <alignment horizontal="left" vertical="center"/>
    </xf>
    <xf fontId="0" fillId="0" borderId="3" numFmtId="0" xfId="0" applyBorder="1" applyAlignment="1">
      <alignment vertical="center"/>
    </xf>
    <xf fontId="3" fillId="0" borderId="3" numFmtId="1" xfId="3" applyNumberFormat="1" applyFont="1" applyBorder="1" applyAlignment="1">
      <alignment horizontal="left" vertical="center"/>
    </xf>
    <xf fontId="3" fillId="0" borderId="3" numFmtId="165" xfId="0" applyNumberFormat="1" applyFont="1" applyBorder="1" applyAlignment="1">
      <alignment horizontal="center" vertical="center"/>
    </xf>
    <xf fontId="2" fillId="0" borderId="3" numFmtId="0" xfId="1" applyFont="1" applyBorder="1" applyAlignment="1" applyProtection="1">
      <alignment horizontal="left" vertical="center"/>
    </xf>
    <xf fontId="4" fillId="0" borderId="3" numFmtId="0" xfId="0" applyFont="1" applyBorder="1" applyAlignment="1" applyProtection="1">
      <alignment horizontal="center" vertical="center" wrapText="1"/>
      <protection locked="0"/>
    </xf>
    <xf fontId="4" fillId="0" borderId="3" numFmtId="0" xfId="0" applyFont="1" applyBorder="1" applyAlignment="1" applyProtection="1">
      <alignment horizontal="center" vertical="center" wrapText="1"/>
      <protection hidden="1"/>
    </xf>
    <xf fontId="4" fillId="0" borderId="3" numFmtId="0" xfId="0" applyFont="1" applyBorder="1" applyAlignment="1" applyProtection="1">
      <alignment horizontal="center" vertical="center"/>
      <protection hidden="1"/>
    </xf>
    <xf fontId="20" fillId="0" borderId="3" numFmtId="14" xfId="0" applyNumberFormat="1" applyFont="1" applyBorder="1" applyAlignment="1" applyProtection="1">
      <alignment horizontal="center" vertical="center" wrapText="1"/>
      <protection locked="0"/>
    </xf>
    <xf fontId="9" fillId="0" borderId="3" numFmtId="14" xfId="0" applyNumberFormat="1" applyFont="1" applyBorder="1" applyAlignment="1" applyProtection="1">
      <alignment horizontal="center" vertical="center" wrapText="1"/>
      <protection locked="0"/>
    </xf>
    <xf fontId="11" fillId="0" borderId="3" numFmtId="0" xfId="0" applyFont="1" applyBorder="1" applyAlignment="1" applyProtection="1">
      <alignment horizontal="justify" vertical="top" wrapText="1"/>
      <protection locked="0"/>
    </xf>
    <xf fontId="1" fillId="0" borderId="3" numFmtId="0" xfId="1" applyFont="1" applyBorder="1" applyAlignment="1" applyProtection="1">
      <alignment horizontal="left" vertical="center" wrapText="1"/>
      <protection locked="0"/>
    </xf>
    <xf fontId="0" fillId="0" borderId="3" numFmtId="0" xfId="0" applyBorder="1" applyAlignment="1">
      <alignment horizontal="left" vertical="center"/>
    </xf>
    <xf fontId="1" fillId="0" borderId="3" numFmtId="0" xfId="1" applyFont="1" applyBorder="1" applyAlignment="1" applyProtection="1">
      <alignment horizontal="center" vertical="center" wrapText="1"/>
      <protection locked="0"/>
    </xf>
    <xf fontId="0" fillId="0" borderId="3" numFmtId="0" xfId="0" applyBorder="1" applyAlignment="1">
      <alignment horizontal="center" vertical="center"/>
    </xf>
    <xf fontId="8" fillId="0" borderId="3" numFmtId="0" xfId="0" applyFont="1" applyBorder="1" applyAlignment="1" applyProtection="1">
      <alignment horizontal="center" vertical="center" wrapText="1"/>
      <protection locked="0"/>
    </xf>
    <xf fontId="21" fillId="0" borderId="3" numFmtId="0" xfId="0" applyFont="1" applyBorder="1" applyAlignment="1" applyProtection="1">
      <alignment horizontal="center" vertical="center" wrapText="1"/>
      <protection locked="0"/>
    </xf>
    <xf fontId="15" fillId="7" borderId="13" numFmtId="0" xfId="0" applyFont="1" applyFill="1" applyBorder="1" applyAlignment="1" applyProtection="1">
      <alignment horizontal="center" vertical="center" wrapText="1"/>
      <protection locked="0"/>
    </xf>
    <xf fontId="15" fillId="7" borderId="14" numFmtId="0" xfId="0" applyFont="1" applyFill="1" applyBorder="1" applyAlignment="1" applyProtection="1">
      <alignment horizontal="center" vertical="center" wrapText="1"/>
      <protection locked="0"/>
    </xf>
    <xf fontId="15" fillId="7" borderId="15" numFmtId="0" xfId="0" applyFont="1" applyFill="1" applyBorder="1" applyAlignment="1" applyProtection="1">
      <alignment horizontal="center" vertical="center" wrapText="1"/>
      <protection locked="0"/>
    </xf>
    <xf fontId="15" fillId="7" borderId="3" numFmtId="0" xfId="0" applyFont="1" applyFill="1" applyBorder="1" applyAlignment="1" applyProtection="1">
      <alignment vertical="center" wrapText="1"/>
      <protection locked="0"/>
    </xf>
    <xf fontId="22" fillId="5" borderId="3" numFmtId="0" xfId="0" applyFont="1" applyFill="1" applyBorder="1" applyAlignment="1" applyProtection="1">
      <alignment horizontal="center" vertical="center" wrapText="1"/>
      <protection locked="0"/>
    </xf>
    <xf fontId="18" fillId="0" borderId="3" numFmtId="0" xfId="0" applyFont="1" applyBorder="1" applyAlignment="1" applyProtection="1">
      <alignment horizontal="center"/>
      <protection locked="0"/>
    </xf>
    <xf fontId="23" fillId="0" borderId="3" numFmtId="0" xfId="0" applyFont="1" applyBorder="1" applyProtection="1">
      <protection locked="0"/>
    </xf>
    <xf fontId="18" fillId="0" borderId="3" numFmtId="0" xfId="0" applyFont="1" applyBorder="1" applyProtection="1">
      <protection locked="0"/>
    </xf>
    <xf fontId="24" fillId="0" borderId="7" numFmtId="0" xfId="0" applyFont="1" applyBorder="1" applyAlignment="1" applyProtection="1">
      <alignment horizontal="center" vertical="center" wrapText="1"/>
      <protection locked="0"/>
    </xf>
    <xf fontId="24" fillId="0" borderId="9" numFmtId="0" xfId="0" applyFont="1" applyBorder="1" applyAlignment="1" applyProtection="1">
      <alignment horizontal="center" vertical="center" wrapText="1"/>
      <protection locked="0"/>
    </xf>
    <xf fontId="1" fillId="0" borderId="7" numFmtId="0" xfId="1" applyFont="1" applyBorder="1" applyAlignment="1" applyProtection="1">
      <alignment horizontal="center" vertical="center" wrapText="1"/>
      <protection locked="0"/>
    </xf>
    <xf fontId="1" fillId="0" borderId="8" numFmtId="0" xfId="1" applyFont="1" applyBorder="1" applyAlignment="1" applyProtection="1">
      <alignment horizontal="center" vertical="center" wrapText="1"/>
      <protection locked="0"/>
    </xf>
    <xf fontId="1" fillId="0" borderId="9" numFmtId="0" xfId="1" applyFont="1" applyBorder="1" applyAlignment="1" applyProtection="1">
      <alignment horizontal="center" vertical="center" wrapText="1"/>
      <protection locked="0"/>
    </xf>
    <xf fontId="18" fillId="0" borderId="6" numFmtId="0" xfId="0" applyFont="1" applyBorder="1" applyAlignment="1" applyProtection="1">
      <alignment horizontal="center"/>
      <protection locked="0"/>
    </xf>
    <xf fontId="18" fillId="0" borderId="6" numFmtId="0" xfId="0" applyFont="1" applyBorder="1" applyProtection="1">
      <protection locked="0"/>
    </xf>
    <xf fontId="8" fillId="0" borderId="7" numFmtId="0" xfId="0" applyFont="1" applyBorder="1" applyAlignment="1" applyProtection="1">
      <alignment horizontal="left" vertical="top" wrapText="1"/>
      <protection locked="0"/>
    </xf>
    <xf fontId="8" fillId="0" borderId="8" numFmtId="0" xfId="0" applyFont="1" applyBorder="1" applyAlignment="1" applyProtection="1">
      <alignment horizontal="left" vertical="top" wrapText="1"/>
      <protection locked="0"/>
    </xf>
    <xf fontId="8" fillId="0" borderId="9" numFmtId="0" xfId="0" applyFont="1" applyBorder="1" applyAlignment="1" applyProtection="1">
      <alignment horizontal="left" vertical="top" wrapText="1"/>
      <protection locked="0"/>
    </xf>
    <xf fontId="10" fillId="6" borderId="3" numFmtId="0" xfId="0" applyFont="1" applyFill="1" applyBorder="1" applyAlignment="1">
      <alignment horizontal="center" vertical="center" wrapText="1"/>
    </xf>
    <xf fontId="12" fillId="0" borderId="3" numFmtId="0" xfId="0" applyFont="1" applyBorder="1" applyAlignment="1">
      <alignment horizontal="center" vertical="center" wrapText="1"/>
    </xf>
    <xf fontId="10" fillId="5" borderId="7" numFmtId="0" xfId="0" applyFont="1" applyFill="1" applyBorder="1" applyAlignment="1">
      <alignment horizontal="center" vertical="center" wrapText="1"/>
    </xf>
    <xf fontId="10" fillId="5" borderId="8" numFmtId="0" xfId="0" applyFont="1" applyFill="1" applyBorder="1" applyAlignment="1">
      <alignment horizontal="center" vertical="center" wrapText="1"/>
    </xf>
    <xf fontId="10" fillId="5" borderId="9" numFmtId="0" xfId="0" applyFont="1" applyFill="1" applyBorder="1" applyAlignment="1">
      <alignment horizontal="center" vertical="center" wrapText="1"/>
    </xf>
    <xf fontId="15" fillId="6" borderId="3" numFmtId="0" xfId="0" applyFont="1" applyFill="1" applyBorder="1" applyAlignment="1" applyProtection="1">
      <alignment horizontal="center" vertical="center" wrapText="1"/>
      <protection locked="0"/>
    </xf>
    <xf fontId="15" fillId="6" borderId="3" numFmtId="0" xfId="0" applyFont="1" applyFill="1" applyBorder="1" applyAlignment="1" applyProtection="1">
      <alignment horizontal="left" vertical="center" wrapText="1"/>
      <protection locked="0"/>
    </xf>
    <xf fontId="15" fillId="6" borderId="7" numFmtId="0" xfId="0" applyFont="1" applyFill="1" applyBorder="1" applyAlignment="1" applyProtection="1">
      <alignment horizontal="left" vertical="center" wrapText="1"/>
      <protection locked="0"/>
    </xf>
    <xf fontId="15" fillId="6" borderId="8" numFmtId="0" xfId="0" applyFont="1" applyFill="1" applyBorder="1" applyAlignment="1" applyProtection="1">
      <alignment horizontal="left" vertical="center" wrapText="1"/>
      <protection locked="0"/>
    </xf>
    <xf fontId="15" fillId="6" borderId="9" numFmtId="0" xfId="0" applyFont="1" applyFill="1" applyBorder="1" applyAlignment="1" applyProtection="1">
      <alignment horizontal="left" vertical="center" wrapText="1"/>
      <protection locked="0"/>
    </xf>
    <xf fontId="17" fillId="0" borderId="3" numFmtId="0" xfId="0" applyFont="1" applyBorder="1" applyAlignment="1" applyProtection="1">
      <alignment horizontal="left" vertical="top" wrapText="1"/>
      <protection locked="0"/>
    </xf>
    <xf fontId="25" fillId="0" borderId="7" numFmtId="0" xfId="0" applyFont="1" applyBorder="1" applyAlignment="1" applyProtection="1">
      <alignment horizontal="left" vertical="top" wrapText="1"/>
      <protection locked="0"/>
    </xf>
    <xf fontId="17" fillId="0" borderId="8" numFmtId="0" xfId="0" applyFont="1" applyBorder="1" applyAlignment="1" applyProtection="1">
      <alignment horizontal="left" vertical="top" wrapText="1"/>
      <protection locked="0"/>
    </xf>
    <xf fontId="17" fillId="0" borderId="9" numFmtId="0" xfId="0" applyFont="1" applyBorder="1" applyAlignment="1" applyProtection="1">
      <alignment horizontal="left" vertical="top" wrapText="1"/>
      <protection locked="0"/>
    </xf>
    <xf fontId="8" fillId="0" borderId="3" numFmtId="0" xfId="0" applyFont="1" applyBorder="1" applyAlignment="1" applyProtection="1">
      <alignment horizontal="left" vertical="center" wrapText="1"/>
      <protection locked="0"/>
    </xf>
    <xf fontId="15" fillId="6" borderId="3" numFmtId="0" xfId="0" applyFont="1" applyFill="1" applyBorder="1" applyAlignment="1">
      <alignment horizontal="center" vertical="center" wrapText="1"/>
    </xf>
    <xf fontId="9" fillId="0" borderId="3" numFmtId="49" xfId="0" applyNumberFormat="1" applyFont="1" applyBorder="1" applyAlignment="1" applyProtection="1">
      <alignment horizontal="center" vertical="center" wrapText="1"/>
      <protection locked="0"/>
    </xf>
    <xf fontId="26" fillId="0" borderId="3" numFmtId="0" xfId="1" applyFont="1" applyBorder="1" applyAlignment="1" applyProtection="1">
      <alignment horizontal="center" vertical="center" wrapText="1"/>
      <protection locked="0"/>
    </xf>
    <xf fontId="8" fillId="0" borderId="3" numFmtId="0" xfId="1" applyFont="1" applyBorder="1" applyAlignment="1" applyProtection="1">
      <alignment horizontal="center" vertical="center" wrapText="1"/>
      <protection locked="0"/>
    </xf>
    <xf fontId="2" fillId="0" borderId="3" numFmtId="0" xfId="1" applyFont="1" applyBorder="1" applyAlignment="1" applyProtection="1">
      <alignment horizontal="center" vertical="center" wrapText="1"/>
      <protection locked="0"/>
    </xf>
    <xf fontId="9" fillId="0" borderId="3" numFmtId="0" xfId="0" applyFont="1" applyBorder="1" applyAlignment="1" applyProtection="1">
      <alignment horizontal="center" vertical="center" wrapText="1"/>
      <protection hidden="1"/>
    </xf>
    <xf fontId="9" fillId="0" borderId="3" numFmtId="0" xfId="0" applyFont="1" applyBorder="1" applyAlignment="1" applyProtection="1">
      <alignment horizontal="center" vertical="center"/>
      <protection hidden="1"/>
    </xf>
    <xf fontId="9" fillId="0" borderId="3" numFmtId="0" xfId="0" applyFont="1" applyBorder="1" applyAlignment="1" applyProtection="1">
      <alignment horizontal="justify" vertical="top" wrapText="1"/>
      <protection locked="0"/>
    </xf>
    <xf fontId="2" fillId="0" borderId="3" numFmtId="0" xfId="2" applyFont="1" applyBorder="1" applyAlignment="1" applyProtection="1">
      <alignment horizontal="center" vertical="center" wrapText="1"/>
      <protection locked="0"/>
    </xf>
    <xf fontId="9" fillId="0" borderId="3" numFmtId="0" xfId="0" applyFont="1" applyBorder="1" applyAlignment="1" applyProtection="1">
      <alignment horizontal="left" vertical="top" wrapText="1"/>
      <protection locked="0"/>
    </xf>
    <xf fontId="0" fillId="6" borderId="0" numFmtId="0" xfId="0" applyFill="1"/>
    <xf fontId="27" fillId="5" borderId="3" numFmtId="0" xfId="0" applyFont="1" applyFill="1" applyBorder="1" applyAlignment="1" applyProtection="1">
      <alignment horizontal="center" vertical="center" wrapText="1"/>
      <protection locked="0"/>
    </xf>
    <xf fontId="8" fillId="0" borderId="3" numFmtId="0" xfId="0" applyFont="1" applyBorder="1" applyAlignment="1" applyProtection="1">
      <alignment horizontal="center"/>
      <protection locked="0"/>
    </xf>
    <xf fontId="28" fillId="0" borderId="3" numFmtId="0" xfId="0" applyFont="1" applyBorder="1" applyProtection="1">
      <protection locked="0"/>
    </xf>
    <xf fontId="8" fillId="0" borderId="3" numFmtId="0" xfId="0" applyFont="1" applyBorder="1" applyProtection="1">
      <protection locked="0"/>
    </xf>
    <xf fontId="17" fillId="0" borderId="3" numFmtId="0" xfId="0" applyFont="1" applyBorder="1" applyAlignment="1" applyProtection="1">
      <alignment horizontal="center" vertical="center" wrapText="1"/>
      <protection locked="0"/>
    </xf>
    <xf fontId="8" fillId="0" borderId="3" numFmtId="0" xfId="0" applyFont="1" applyBorder="1" applyAlignment="1" applyProtection="1">
      <alignment vertical="center" wrapText="1"/>
      <protection locked="0"/>
    </xf>
  </cellXfs>
  <cellStyles count="10">
    <cellStyle name="Hipervínculo" xfId="1" builtinId="8"/>
    <cellStyle name="Hyperlink" xfId="2"/>
    <cellStyle name="Millares" xfId="3" builtinId="3"/>
    <cellStyle name="Normal" xfId="0" builtinId="0"/>
    <cellStyle name="Normal 2" xfId="4"/>
    <cellStyle name="Normal 3" xfId="5"/>
    <cellStyle name="Normal 3 2" xfId="6"/>
    <cellStyle name="Normal 4" xfId="7"/>
    <cellStyle name="Normal 5" xfId="8"/>
    <cellStyle name="Normal 5 2" xfId="9"/>
  </cellStyles>
  <dxfs count="42">
    <dxf>
      <font>
        <b val="0"/>
        <i val="0"/>
        <strike val="0"/>
        <u val="none"/>
        <vertAlign val="baseline"/>
        <sz val="16.000000"/>
        <color theme="1"/>
        <name val="Arial"/>
        <scheme val="none"/>
      </font>
      <fill>
        <patternFill patternType="solid">
          <fgColor indexed="5"/>
          <bgColor indexed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</border>
    </dxf>
    <dxf>
      <font>
        <b val="0"/>
        <i val="0"/>
        <strike val="0"/>
        <u val="none"/>
        <vertAlign val="baseline"/>
        <sz val="16.000000"/>
        <color theme="1"/>
        <name val="Arial"/>
        <scheme val="none"/>
      </font>
      <fill>
        <patternFill patternType="solid">
          <fgColor indexed="65"/>
          <bgColor indexed="65"/>
        </patternFill>
      </fill>
    </dxf>
    <dxf>
      <font>
        <b val="0"/>
        <i val="0"/>
        <strike val="0"/>
        <u val="none"/>
        <vertAlign val="baseline"/>
        <sz val="16.000000"/>
        <color theme="1"/>
        <name val="Arial"/>
        <scheme val="none"/>
      </font>
      <border>
        <left style="none"/>
        <right style="none"/>
        <top style="thin">
          <color theme="4"/>
        </top>
        <bottom style="none"/>
        <diagonal style="none"/>
        <vertical style="none"/>
        <horizontal style="none"/>
      </border>
    </dxf>
    <dxf>
      <font>
        <b val="0"/>
        <i val="0"/>
        <strike val="0"/>
        <u val="none"/>
        <vertAlign val="baseline"/>
        <sz val="16.00000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>
        <left style="none"/>
        <right style="none"/>
        <top style="thin">
          <color theme="4" tint="0.39997558519241921"/>
        </top>
        <bottom style="none"/>
        <diagonal style="none"/>
        <vertical style="none"/>
        <horizontal style="none"/>
      </border>
    </dxf>
    <dxf>
      <font>
        <b val="0"/>
        <i val="0"/>
        <strike val="0"/>
        <u val="none"/>
        <vertAlign val="baseline"/>
        <sz val="16.00000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>
        <left style="none"/>
        <right style="none"/>
        <top style="thin">
          <color auto="1"/>
        </top>
        <bottom style="none"/>
        <diagonal style="none"/>
        <vertical style="none"/>
        <horizontal style="none"/>
      </border>
    </dxf>
    <dxf>
      <font>
        <b val="0"/>
        <i val="0"/>
        <strike val="0"/>
        <u val="none"/>
        <vertAlign val="baseline"/>
        <sz val="16.000000"/>
        <color theme="1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none"/>
        <vertical style="none"/>
        <horizontal style="none"/>
      </border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  <dxf>
      <font>
        <b val="0"/>
        <i val="0"/>
        <strike val="0"/>
        <u val="none"/>
        <vertAlign val="baseline"/>
        <sz val="10.000000"/>
        <name val="Calibri"/>
        <scheme val="minor"/>
      </font>
      <alignment horizontal="left" indent="0" readingOrder="0" relativeIndent="0" shrinkToFit="0" textRotation="0" vertical="top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worksheet" Target="worksheets/sheet6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customXml" Target="../customXml/item1.xml"/><Relationship  Id="rId3" Type="http://schemas.openxmlformats.org/officeDocument/2006/relationships/customXml" Target="../customXml/item2.xml"/><Relationship  Id="rId4" Type="http://schemas.openxmlformats.org/officeDocument/2006/relationships/customXml" Target="../customXml/item3.xml"/><Relationship  Id="rId5" Type="http://schemas.openxmlformats.org/officeDocument/2006/relationships/worksheet" Target="worksheets/sheet1.xml"/><Relationship  Id="rId6" Type="http://schemas.openxmlformats.org/officeDocument/2006/relationships/worksheet" Target="worksheets/sheet2.xml"/><Relationship  Id="rId7" Type="http://schemas.openxmlformats.org/officeDocument/2006/relationships/worksheet" Target="worksheets/sheet3.xml"/><Relationship  Id="rId8" Type="http://schemas.openxmlformats.org/officeDocument/2006/relationships/worksheet" Target="worksheets/sheet4.xml"/><Relationship  Id="rId9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1119241</xdr:colOff>
      <xdr:row>0</xdr:row>
      <xdr:rowOff>0</xdr:rowOff>
    </xdr:from>
    <xdr:to>
      <xdr:col>4</xdr:col>
      <xdr:colOff>43090</xdr:colOff>
      <xdr:row>1</xdr:row>
      <xdr:rowOff>452907</xdr:rowOff>
    </xdr:to>
    <xdr:pic>
      <xdr:nvPicPr>
        <xdr:cNvPr id="2" name="Imagen 1"/>
        <xdr:cNvPicPr/>
      </xdr:nvPicPr>
      <xdr:blipFill rotWithShape="1">
        <a:blip r:embed="rId1"/>
        <a:srcRect l="43164" t="-5325" r="-1805" b="43916"/>
        <a:stretch/>
      </xdr:blipFill>
      <xdr:spPr bwMode="auto">
        <a:xfrm>
          <a:off x="4052940" y="0"/>
          <a:ext cx="971724" cy="900582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4</xdr:col>
      <xdr:colOff>181151</xdr:colOff>
      <xdr:row>7</xdr:row>
      <xdr:rowOff>77174</xdr:rowOff>
    </xdr:from>
    <xdr:to>
      <xdr:col>4</xdr:col>
      <xdr:colOff>440231</xdr:colOff>
      <xdr:row>7</xdr:row>
      <xdr:rowOff>223859</xdr:rowOff>
    </xdr:to>
    <xdr:sp>
      <xdr:nvSpPr>
        <xdr:cNvPr id="4" name="Cuadro de texto 1"/>
        <xdr:cNvSpPr txBox="1"/>
      </xdr:nvSpPr>
      <xdr:spPr bwMode="auto">
        <a:xfrm>
          <a:off x="5150716" y="2702761"/>
          <a:ext cx="259080" cy="146685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/>
          <a:noAutofit/>
        </a:bodyPr>
        <a:lstStyle/>
        <a:p>
          <a:pPr algn="ctr">
            <a:lnSpc>
              <a:spcPct val="114999"/>
            </a:lnSpc>
            <a:spcAft>
              <a:spcPts val="1000"/>
            </a:spcAft>
            <a:defRPr/>
          </a:pPr>
          <a:r>
            <a:rPr lang="es-CO" sz="1100">
              <a:latin typeface="Calibri"/>
              <a:ea typeface="Calibri"/>
              <a:cs typeface="Times New Roman"/>
            </a:rPr>
            <a:t> </a:t>
          </a:r>
          <a:endParaRPr lang="es-MX" sz="1100">
            <a:latin typeface="Calibri"/>
            <a:ea typeface="Calibri"/>
            <a:cs typeface="Times New Roman"/>
          </a:endParaRPr>
        </a:p>
      </xdr:txBody>
    </xdr:sp>
    <xdr:clientData/>
  </xdr:twoCellAnchor>
  <xdr:twoCellAnchor editAs="twoCell">
    <xdr:from>
      <xdr:col>1</xdr:col>
      <xdr:colOff>758093</xdr:colOff>
      <xdr:row>7</xdr:row>
      <xdr:rowOff>83977</xdr:rowOff>
    </xdr:from>
    <xdr:to>
      <xdr:col>1</xdr:col>
      <xdr:colOff>1017173</xdr:colOff>
      <xdr:row>7</xdr:row>
      <xdr:rowOff>221137</xdr:rowOff>
    </xdr:to>
    <xdr:sp>
      <xdr:nvSpPr>
        <xdr:cNvPr id="5" name="Cuadro de texto 1"/>
        <xdr:cNvSpPr txBox="1"/>
      </xdr:nvSpPr>
      <xdr:spPr bwMode="auto">
        <a:xfrm>
          <a:off x="2588550" y="2709564"/>
          <a:ext cx="259080" cy="1371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/>
          <a:noAutofit/>
        </a:bodyPr>
        <a:lstStyle/>
        <a:p>
          <a:pPr algn="ctr">
            <a:lnSpc>
              <a:spcPct val="114999"/>
            </a:lnSpc>
            <a:spcAft>
              <a:spcPts val="1000"/>
            </a:spcAft>
            <a:defRPr/>
          </a:pPr>
          <a:r>
            <a:rPr lang="es-CO" sz="1100">
              <a:latin typeface="Calibri"/>
              <a:ea typeface="Calibri"/>
              <a:cs typeface="Times New Roman"/>
            </a:rPr>
            <a:t> </a:t>
          </a:r>
          <a:endParaRPr lang="es-MX" sz="1100">
            <a:latin typeface="Calibri"/>
            <a:ea typeface="Calibri"/>
            <a:cs typeface="Times New Roman"/>
          </a:endParaRPr>
        </a:p>
      </xdr:txBody>
    </xdr:sp>
    <xdr:clientData/>
  </xdr:twoCellAnchor>
  <xdr:twoCellAnchor editAs="twoCell">
    <xdr:from>
      <xdr:col>8</xdr:col>
      <xdr:colOff>397565</xdr:colOff>
      <xdr:row>7</xdr:row>
      <xdr:rowOff>72206</xdr:rowOff>
    </xdr:from>
    <xdr:to>
      <xdr:col>8</xdr:col>
      <xdr:colOff>651721</xdr:colOff>
      <xdr:row>7</xdr:row>
      <xdr:rowOff>240197</xdr:rowOff>
    </xdr:to>
    <xdr:sp>
      <xdr:nvSpPr>
        <xdr:cNvPr id="6" name="Cuadro de texto 1"/>
        <xdr:cNvSpPr txBox="1"/>
      </xdr:nvSpPr>
      <xdr:spPr bwMode="auto">
        <a:xfrm flipH="1">
          <a:off x="9243391" y="2697793"/>
          <a:ext cx="254156" cy="167991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/>
          <a:noAutofit/>
        </a:bodyPr>
        <a:lstStyle/>
        <a:p>
          <a:pPr algn="ctr">
            <a:lnSpc>
              <a:spcPct val="114999"/>
            </a:lnSpc>
            <a:spcAft>
              <a:spcPts val="1000"/>
            </a:spcAft>
            <a:defRPr/>
          </a:pPr>
          <a:r>
            <a:rPr lang="es-CO" sz="1100">
              <a:latin typeface="Calibri"/>
              <a:ea typeface="Calibri"/>
              <a:cs typeface="Times New Roman"/>
            </a:rPr>
            <a:t> </a:t>
          </a:r>
          <a:endParaRPr lang="es-MX" sz="1100">
            <a:latin typeface="Calibri"/>
            <a:ea typeface="Calibri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11</xdr:col>
      <xdr:colOff>0</xdr:colOff>
      <xdr:row>0</xdr:row>
      <xdr:rowOff>1</xdr:rowOff>
    </xdr:from>
    <xdr:to>
      <xdr:col>11</xdr:col>
      <xdr:colOff>957462</xdr:colOff>
      <xdr:row>1</xdr:row>
      <xdr:rowOff>278947</xdr:rowOff>
    </xdr:to>
    <xdr:pic>
      <xdr:nvPicPr>
        <xdr:cNvPr id="3" name="Imagen 2"/>
        <xdr:cNvPicPr/>
      </xdr:nvPicPr>
      <xdr:blipFill rotWithShape="1">
        <a:blip r:embed="rId1"/>
        <a:srcRect l="43164" t="-5325" r="-1805" b="43916"/>
        <a:stretch/>
      </xdr:blipFill>
      <xdr:spPr bwMode="auto">
        <a:xfrm>
          <a:off x="14205857" y="1"/>
          <a:ext cx="961866" cy="9048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1119241</xdr:colOff>
      <xdr:row>0</xdr:row>
      <xdr:rowOff>0</xdr:rowOff>
    </xdr:from>
    <xdr:to>
      <xdr:col>4</xdr:col>
      <xdr:colOff>43090</xdr:colOff>
      <xdr:row>1</xdr:row>
      <xdr:rowOff>452907</xdr:rowOff>
    </xdr:to>
    <xdr:pic>
      <xdr:nvPicPr>
        <xdr:cNvPr id="2" name="Imagen 1"/>
        <xdr:cNvPicPr/>
      </xdr:nvPicPr>
      <xdr:blipFill rotWithShape="1">
        <a:blip r:embed="rId1"/>
        <a:srcRect l="43164" t="-5325" r="-1805" b="43916"/>
        <a:stretch/>
      </xdr:blipFill>
      <xdr:spPr bwMode="auto">
        <a:xfrm>
          <a:off x="4043416" y="0"/>
          <a:ext cx="971724" cy="900582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4</xdr:col>
      <xdr:colOff>181151</xdr:colOff>
      <xdr:row>7</xdr:row>
      <xdr:rowOff>77174</xdr:rowOff>
    </xdr:from>
    <xdr:to>
      <xdr:col>4</xdr:col>
      <xdr:colOff>440231</xdr:colOff>
      <xdr:row>7</xdr:row>
      <xdr:rowOff>223859</xdr:rowOff>
    </xdr:to>
    <xdr:sp>
      <xdr:nvSpPr>
        <xdr:cNvPr id="3" name="Cuadro de texto 1"/>
        <xdr:cNvSpPr txBox="1"/>
      </xdr:nvSpPr>
      <xdr:spPr bwMode="auto">
        <a:xfrm>
          <a:off x="5153201" y="2858473"/>
          <a:ext cx="259080" cy="146685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/>
          <a:noAutofit/>
        </a:bodyPr>
        <a:lstStyle/>
        <a:p>
          <a:pPr algn="ctr">
            <a:lnSpc>
              <a:spcPct val="114999"/>
            </a:lnSpc>
            <a:spcAft>
              <a:spcPts val="1000"/>
            </a:spcAft>
            <a:defRPr/>
          </a:pPr>
          <a:r>
            <a:rPr lang="es-CO" sz="1100">
              <a:latin typeface="Calibri"/>
              <a:ea typeface="Calibri"/>
              <a:cs typeface="Times New Roman"/>
            </a:rPr>
            <a:t> </a:t>
          </a:r>
          <a:endParaRPr lang="es-MX" sz="1100">
            <a:latin typeface="Calibri"/>
            <a:ea typeface="Calibri"/>
            <a:cs typeface="Times New Roman"/>
          </a:endParaRPr>
        </a:p>
      </xdr:txBody>
    </xdr:sp>
    <xdr:clientData/>
  </xdr:twoCellAnchor>
  <xdr:twoCellAnchor editAs="twoCell">
    <xdr:from>
      <xdr:col>1</xdr:col>
      <xdr:colOff>758093</xdr:colOff>
      <xdr:row>7</xdr:row>
      <xdr:rowOff>83977</xdr:rowOff>
    </xdr:from>
    <xdr:to>
      <xdr:col>1</xdr:col>
      <xdr:colOff>1017173</xdr:colOff>
      <xdr:row>7</xdr:row>
      <xdr:rowOff>221137</xdr:rowOff>
    </xdr:to>
    <xdr:sp>
      <xdr:nvSpPr>
        <xdr:cNvPr id="4" name="Cuadro de texto 1"/>
        <xdr:cNvSpPr txBox="1"/>
      </xdr:nvSpPr>
      <xdr:spPr bwMode="auto">
        <a:xfrm>
          <a:off x="2586893" y="2865277"/>
          <a:ext cx="259080" cy="1371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/>
          <a:noAutofit/>
        </a:bodyPr>
        <a:lstStyle/>
        <a:p>
          <a:pPr algn="ctr">
            <a:lnSpc>
              <a:spcPct val="114999"/>
            </a:lnSpc>
            <a:spcAft>
              <a:spcPts val="1000"/>
            </a:spcAft>
            <a:defRPr/>
          </a:pPr>
          <a:r>
            <a:rPr lang="es-CO" sz="1100">
              <a:latin typeface="Calibri"/>
              <a:ea typeface="Calibri"/>
              <a:cs typeface="Times New Roman"/>
            </a:rPr>
            <a:t> </a:t>
          </a:r>
          <a:endParaRPr lang="es-MX" sz="1100">
            <a:latin typeface="Calibri"/>
            <a:ea typeface="Calibri"/>
            <a:cs typeface="Times New Roman"/>
          </a:endParaRPr>
        </a:p>
      </xdr:txBody>
    </xdr:sp>
    <xdr:clientData/>
  </xdr:twoCellAnchor>
  <xdr:twoCellAnchor editAs="twoCell">
    <xdr:from>
      <xdr:col>8</xdr:col>
      <xdr:colOff>397565</xdr:colOff>
      <xdr:row>7</xdr:row>
      <xdr:rowOff>72206</xdr:rowOff>
    </xdr:from>
    <xdr:to>
      <xdr:col>8</xdr:col>
      <xdr:colOff>651721</xdr:colOff>
      <xdr:row>7</xdr:row>
      <xdr:rowOff>240197</xdr:rowOff>
    </xdr:to>
    <xdr:sp>
      <xdr:nvSpPr>
        <xdr:cNvPr id="5" name="Cuadro de texto 1"/>
        <xdr:cNvSpPr txBox="1"/>
      </xdr:nvSpPr>
      <xdr:spPr bwMode="auto">
        <a:xfrm flipH="1">
          <a:off x="9246290" y="2853506"/>
          <a:ext cx="254156" cy="167991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/>
          <a:noAutofit/>
        </a:bodyPr>
        <a:lstStyle/>
        <a:p>
          <a:pPr algn="ctr">
            <a:lnSpc>
              <a:spcPct val="114999"/>
            </a:lnSpc>
            <a:spcAft>
              <a:spcPts val="1000"/>
            </a:spcAft>
            <a:defRPr/>
          </a:pPr>
          <a:r>
            <a:rPr lang="es-CO" sz="1100">
              <a:latin typeface="Calibri"/>
              <a:ea typeface="Calibri"/>
              <a:cs typeface="Times New Roman"/>
            </a:rPr>
            <a:t> </a:t>
          </a:r>
          <a:endParaRPr lang="es-MX" sz="1100">
            <a:latin typeface="Calibri"/>
            <a:ea typeface="Calibri"/>
            <a:cs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10</xdr:col>
      <xdr:colOff>992329</xdr:colOff>
      <xdr:row>0</xdr:row>
      <xdr:rowOff>0</xdr:rowOff>
    </xdr:from>
    <xdr:to>
      <xdr:col>11</xdr:col>
      <xdr:colOff>1000125</xdr:colOff>
      <xdr:row>7</xdr:row>
      <xdr:rowOff>101372</xdr:rowOff>
    </xdr:to>
    <xdr:pic>
      <xdr:nvPicPr>
        <xdr:cNvPr id="5" name="Imagen 4"/>
        <xdr:cNvPicPr/>
      </xdr:nvPicPr>
      <xdr:blipFill rotWithShape="1">
        <a:blip r:embed="rId1"/>
        <a:srcRect l="43164" t="-5325" r="-1805" b="43916"/>
        <a:stretch/>
      </xdr:blipFill>
      <xdr:spPr bwMode="auto">
        <a:xfrm>
          <a:off x="17213405" y="0"/>
          <a:ext cx="1265095" cy="1234847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7</xdr:col>
      <xdr:colOff>250372</xdr:colOff>
      <xdr:row>13</xdr:row>
      <xdr:rowOff>151720</xdr:rowOff>
    </xdr:from>
    <xdr:to>
      <xdr:col>7</xdr:col>
      <xdr:colOff>509453</xdr:colOff>
      <xdr:row>13</xdr:row>
      <xdr:rowOff>403181</xdr:rowOff>
    </xdr:to>
    <xdr:sp>
      <xdr:nvSpPr>
        <xdr:cNvPr id="2" name="Cuadro de texto 1"/>
        <xdr:cNvSpPr txBox="1"/>
      </xdr:nvSpPr>
      <xdr:spPr bwMode="auto">
        <a:xfrm>
          <a:off x="11040837" y="2519364"/>
          <a:ext cx="259080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/>
          <a:noAutofit/>
        </a:bodyPr>
        <a:lstStyle/>
        <a:p>
          <a:pPr algn="ctr">
            <a:lnSpc>
              <a:spcPct val="114999"/>
            </a:lnSpc>
            <a:spcAft>
              <a:spcPts val="1000"/>
            </a:spcAft>
            <a:defRPr/>
          </a:pPr>
          <a:r>
            <a:rPr lang="es-CO" sz="1100">
              <a:latin typeface="Calibri"/>
              <a:ea typeface="Calibri"/>
              <a:cs typeface="Times New Roman"/>
            </a:rPr>
            <a:t> </a:t>
          </a:r>
          <a:endParaRPr lang="es-MX" sz="1100">
            <a:latin typeface="Calibri"/>
            <a:ea typeface="Calibri"/>
            <a:cs typeface="Times New Roman"/>
          </a:endParaRPr>
        </a:p>
      </xdr:txBody>
    </xdr:sp>
    <xdr:clientData/>
  </xdr:twoCellAnchor>
  <xdr:twoCellAnchor editAs="twoCell">
    <xdr:from>
      <xdr:col>11</xdr:col>
      <xdr:colOff>1178380</xdr:colOff>
      <xdr:row>13</xdr:row>
      <xdr:rowOff>127227</xdr:rowOff>
    </xdr:from>
    <xdr:to>
      <xdr:col>11</xdr:col>
      <xdr:colOff>1551215</xdr:colOff>
      <xdr:row>13</xdr:row>
      <xdr:rowOff>421819</xdr:rowOff>
    </xdr:to>
    <xdr:sp>
      <xdr:nvSpPr>
        <xdr:cNvPr id="4" name="Cuadro de texto 1"/>
        <xdr:cNvSpPr txBox="1"/>
      </xdr:nvSpPr>
      <xdr:spPr bwMode="auto">
        <a:xfrm>
          <a:off x="18649951" y="2494870"/>
          <a:ext cx="372835" cy="294593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/>
          <a:noAutofit/>
        </a:bodyPr>
        <a:lstStyle/>
        <a:p>
          <a:pPr algn="ctr">
            <a:lnSpc>
              <a:spcPct val="114999"/>
            </a:lnSpc>
            <a:spcAft>
              <a:spcPts val="1000"/>
            </a:spcAft>
            <a:defRPr/>
          </a:pPr>
          <a:r>
            <a:rPr lang="es-CO" sz="1100">
              <a:latin typeface="Calibri"/>
              <a:ea typeface="Calibri"/>
              <a:cs typeface="Times New Roman"/>
            </a:rPr>
            <a:t> </a:t>
          </a:r>
          <a:endParaRPr lang="es-MX" sz="1100">
            <a:latin typeface="Calibri"/>
            <a:ea typeface="Calibri"/>
            <a:cs typeface="Times New Roman"/>
          </a:endParaRPr>
        </a:p>
      </xdr:txBody>
    </xdr:sp>
    <xdr:clientData/>
  </xdr:twoCellAnchor>
  <xdr:twoCellAnchor editAs="twoCell">
    <xdr:from>
      <xdr:col>1</xdr:col>
      <xdr:colOff>180975</xdr:colOff>
      <xdr:row>13</xdr:row>
      <xdr:rowOff>142875</xdr:rowOff>
    </xdr:from>
    <xdr:to>
      <xdr:col>1</xdr:col>
      <xdr:colOff>440055</xdr:colOff>
      <xdr:row>13</xdr:row>
      <xdr:rowOff>394335</xdr:rowOff>
    </xdr:to>
    <xdr:sp>
      <xdr:nvSpPr>
        <xdr:cNvPr id="6" name="CuadroTexto 5"/>
        <xdr:cNvSpPr txBox="1"/>
      </xdr:nvSpPr>
      <xdr:spPr bwMode="auto">
        <a:xfrm>
          <a:off x="638175" y="2914650"/>
          <a:ext cx="259080" cy="2514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/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>
            <a:lnSpc>
              <a:spcPct val="114999"/>
            </a:lnSpc>
            <a:spcAft>
              <a:spcPts val="1000"/>
            </a:spcAft>
            <a:defRPr/>
          </a:pPr>
          <a:r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X</a:t>
          </a:r>
          <a:endParaRPr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BL_Planta" ref="D1:D88">
  <autoFilter ref="D1:D88"/>
  <tableColumns count="1">
    <tableColumn id="1" name="Plant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BL_Contratista" ref="C1:C2">
  <autoFilter ref="C1:C2"/>
  <tableColumns count="1">
    <tableColumn id="1" name="Contratista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BL_Tipo_De_Solicitud" ref="A1:A5">
  <autoFilter ref="A1:A5"/>
  <tableColumns count="1">
    <tableColumn id="1" name="Tipo de solicitu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a2" ref="B1:B5">
  <autoFilter ref="B1:B5"/>
  <sortState ref="B2:B4">
    <sortCondition ref="B1:B4"/>
  </sortState>
  <tableColumns count="1">
    <tableColumn id="1" name="Tipo De Contrato" dataDxfId="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BL_Usuario_Externo" ref="E1:E2">
  <autoFilter ref="E1:E2"/>
  <tableColumns count="1">
    <tableColumn id="1" name="Usuario Externo" dataDxfId="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BL_Rol" ref="F1:F16">
  <autoFilter ref="F1:F16"/>
  <tableColumns count="1">
    <tableColumn id="1" name="Rol" dataDxfId="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TBL_Aprendiz" ref="H1:H3">
  <autoFilter ref="H1:H3"/>
  <tableColumns count="1">
    <tableColumn id="1" name="Aprendiz" dataDxfId="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TBL_Sedes" ref="A1:T398">
  <autoFilter ref="A1:T398"/>
  <sortState ref="A2:T398">
    <sortCondition ref="A1:A398"/>
  </sortState>
  <tableColumns count="20">
    <tableColumn id="1" name="Ciudad Nombre de la sede"/>
    <tableColumn id="2" name="ID"/>
    <tableColumn id="3" name="Código TIC"/>
    <tableColumn id="4" name="Regional"/>
    <tableColumn id="5" name="Ciudad"/>
    <tableColumn id="6" name="Nombre de la sede"/>
    <tableColumn id="7" name="Dirección"/>
    <tableColumn id="8" name="Clase"/>
    <tableColumn id="9" name="Tipo"/>
    <tableColumn id="10" name="Horario Atención L-V"/>
    <tableColumn id="11" name="Horario Sabatino"/>
    <tableColumn id="12" name="Horario Dominical"/>
    <tableColumn id="13" name="Estado"/>
    <tableColumn id="14" name="Líder TIC"/>
    <tableColumn id="15" name="Correo"/>
    <tableColumn id="16" name="Celular"/>
    <tableColumn id="17" name="IP"/>
    <tableColumn id="18" name="Sede Propia / Arriendo / Comodato"/>
    <tableColumn id="19" name="Fecha inicio contrato"/>
    <tableColumn id="20" name="Fecha fin contra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Tabla5" ref="U83:U118">
  <autoFilter ref="U83:U118"/>
  <tableColumns count="1">
    <tableColumn id="1" name="Regionales" dataDxfId="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Tabla7" ref="V83:V86">
  <autoFilter ref="V83:V86"/>
  <tableColumns count="1">
    <tableColumn id="1" name="Dirección General" dataDxfId="7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Tabla8" ref="W83:W85">
  <autoFilter ref="W83:W85"/>
  <tableColumns count="1">
    <tableColumn id="1" name="Regional Amazonas" dataDxfId="8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Tabla9" ref="X83:X120">
  <autoFilter ref="X83:X120"/>
  <tableColumns count="1">
    <tableColumn id="1" name="Regional Antioquia" dataDxfId="9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Tabla10" ref="Y83:Y91">
  <autoFilter ref="Y83:Y91"/>
  <tableColumns count="1">
    <tableColumn id="1" name="Regional Arauca" dataDxfId="10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displayName="Tabla11" ref="Z83:Z108">
  <autoFilter ref="Z83:Z108"/>
  <tableColumns count="1">
    <tableColumn id="1" name="Regional Atlántico" dataDxfId="11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displayName="Tabla12" ref="AA83:AA93">
  <autoFilter ref="AA83:AA93"/>
  <tableColumns count="1">
    <tableColumn id="1" name="Regional Bolivar" dataDxfId="12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displayName="Tabla13" ref="AB83:AB94">
  <autoFilter ref="AB83:AB94"/>
  <tableColumns count="1">
    <tableColumn id="1" name="Regional Boyacá" dataDxfId="13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displayName="Tabla14" ref="AC83:AC94">
  <autoFilter ref="AC83:AC94"/>
  <tableColumns count="1">
    <tableColumn id="1" name="Regional Caldas" dataDxfId="14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displayName="Tabla15" ref="AD83:AD88">
  <autoFilter ref="AD83:AD88"/>
  <tableColumns count="1">
    <tableColumn id="1" name="Regional Caquetá" dataDxfId="15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displayName="Tabla16" ref="AE83:AE86">
  <autoFilter ref="AE83:AE86"/>
  <tableColumns count="1">
    <tableColumn id="1" name="Regional Casanare" dataDxfId="16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displayName="Tabla17" ref="AF83:AF96">
  <autoFilter ref="AF83:AF96"/>
  <tableColumns count="1">
    <tableColumn id="1" name="Regional Cauca" dataDxfId="17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displayName="Tabla18" ref="AG83:AG96">
  <autoFilter ref="AG83:AG96"/>
  <tableColumns count="1">
    <tableColumn id="1" name="Regional Cesar" dataDxfId="18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displayName="Tabla19" ref="AH83:AH87">
  <autoFilter ref="AH83:AH87"/>
  <tableColumns count="1">
    <tableColumn id="1" name="Regional Chocó" dataDxfId="19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displayName="Tabla20" ref="AI83:AI89">
  <autoFilter ref="AI83:AI89"/>
  <tableColumns count="1">
    <tableColumn id="1" name="Regional Cordoba" dataDxfId="20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displayName="Tabla21" ref="AJ83:AJ110">
  <autoFilter ref="AJ83:AJ110"/>
  <tableColumns count="1">
    <tableColumn id="1" name="Regional Cundinamarca" dataDxfId="21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displayName="Tabla22" ref="AK83:AK111">
  <autoFilter ref="AK83:AK111"/>
  <tableColumns count="1">
    <tableColumn id="1" name="Regional Distrito Capital" dataDxfId="22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displayName="Tabla23" ref="AL83:AL85">
  <autoFilter ref="AL83:AL85"/>
  <tableColumns count="1">
    <tableColumn id="1" name="Regional Guainía" dataDxfId="23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displayName="Tabla24" ref="AM83:AM89">
  <autoFilter ref="AM83:AM89"/>
  <tableColumns count="1">
    <tableColumn id="1" name="Regional Guajira" dataDxfId="24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displayName="Tabla25" ref="AN83:AN86">
  <autoFilter ref="AN83:AN86"/>
  <tableColumns count="1">
    <tableColumn id="1" name="Regional Guaviare" dataDxfId="2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displayName="Tabla26" ref="AO83:AO94">
  <autoFilter ref="AO83:AO94"/>
  <tableColumns count="1">
    <tableColumn id="1" name="Regional Huila" dataDxfId="26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displayName="Tabla27" ref="AP83:AP92">
  <autoFilter ref="AP83:AP92"/>
  <tableColumns count="1">
    <tableColumn id="1" name="Regional Magdalena" dataDxfId="27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displayName="Tabla28" ref="AQ83:AQ90">
  <autoFilter ref="AQ83:AQ90"/>
  <tableColumns count="1">
    <tableColumn id="1" name="Regional Meta" dataDxfId="28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displayName="Tabla29" ref="AR83:AR93">
  <autoFilter ref="AR83:AR93"/>
  <tableColumns count="1">
    <tableColumn id="1" name="Regional Nariño" dataDxfId="29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displayName="Tabla30" ref="AS83:AS96">
  <autoFilter ref="AS83:AS96"/>
  <tableColumns count="1">
    <tableColumn id="1" name="Regional Norte De Santander" dataDxfId="30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displayName="Tabla31" ref="AT83:AT88">
  <autoFilter ref="AT83:AT88"/>
  <tableColumns count="1">
    <tableColumn id="1" name="Regional Putumayo" dataDxfId="31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displayName="Tabla32" ref="AU83:AU88">
  <autoFilter ref="AU83:AU88"/>
  <tableColumns count="1">
    <tableColumn id="1" name="Regional Quindío" dataDxfId="32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displayName="Tabla33" ref="AV83:AV91">
  <autoFilter ref="AV83:AV91"/>
  <tableColumns count="1">
    <tableColumn id="1" name="Regional Risaralda" dataDxfId="33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displayName="Tabla34" ref="AW83:AW89">
  <autoFilter ref="AW83:AW89"/>
  <tableColumns count="1">
    <tableColumn id="1" name="Regional San Andres" dataDxfId="34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displayName="Tabla35" ref="AX83:AX112">
  <autoFilter ref="AX83:AX112"/>
  <tableColumns count="1">
    <tableColumn id="1" name="Regional Santander" dataDxfId="35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displayName="Tabla36" ref="AY83:AY90">
  <autoFilter ref="AY83:AY90"/>
  <tableColumns count="1">
    <tableColumn id="1" name="Regional Sucre" dataDxfId="36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displayName="Tabla37" ref="AZ83:AZ89">
  <autoFilter ref="AZ83:AZ89"/>
  <tableColumns count="1">
    <tableColumn id="1" name="Regional Tolima" dataDxfId="37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displayName="Tabla38" ref="BA83:BA110">
  <autoFilter ref="BA83:BA110"/>
  <tableColumns count="1">
    <tableColumn id="1" name="Regional Valle" dataDxfId="38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displayName="Tabla39" ref="BB83:BB87">
  <autoFilter ref="BB83:BB87"/>
  <tableColumns count="1">
    <tableColumn id="1" name="Regional Vaupés" dataDxfId="39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displayName="Tabla40" ref="BC83:BD89">
  <autoFilter ref="BC83:BD89"/>
  <tableColumns count="2">
    <tableColumn id="1" name="Regional Vichada" dataDxfId="40"/>
    <tableColumn id="2" name="Dirección Administrativa Y Financiera" dataDxfId="41"/>
  </tableColumns>
  <tableStyleInfo name="TableStyleMedium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Relationship  Id="rId3" Type="http://schemas.openxmlformats.org/officeDocument/2006/relationships/table" Target="../tables/table3.xml"/><Relationship  Id="rId4" Type="http://schemas.openxmlformats.org/officeDocument/2006/relationships/table" Target="../tables/table4.xml"/><Relationship  Id="rId5" Type="http://schemas.openxmlformats.org/officeDocument/2006/relationships/table" Target="../tables/table5.xml"/><Relationship  Id="rId6" Type="http://schemas.openxmlformats.org/officeDocument/2006/relationships/table" Target="../tables/table6.xml"/><Relationship  Id="rId7" Type="http://schemas.openxmlformats.org/officeDocument/2006/relationships/table" Target="../tables/table7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8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Relationship  Id="rId10" Type="http://schemas.openxmlformats.org/officeDocument/2006/relationships/table" Target="../tables/table17.xml"/><Relationship  Id="rId11" Type="http://schemas.openxmlformats.org/officeDocument/2006/relationships/table" Target="../tables/table18.xml"/><Relationship  Id="rId12" Type="http://schemas.openxmlformats.org/officeDocument/2006/relationships/table" Target="../tables/table19.xml"/><Relationship  Id="rId13" Type="http://schemas.openxmlformats.org/officeDocument/2006/relationships/table" Target="../tables/table20.xml"/><Relationship  Id="rId14" Type="http://schemas.openxmlformats.org/officeDocument/2006/relationships/table" Target="../tables/table21.xml"/><Relationship  Id="rId15" Type="http://schemas.openxmlformats.org/officeDocument/2006/relationships/table" Target="../tables/table22.xml"/><Relationship  Id="rId16" Type="http://schemas.openxmlformats.org/officeDocument/2006/relationships/table" Target="../tables/table23.xml"/><Relationship  Id="rId17" Type="http://schemas.openxmlformats.org/officeDocument/2006/relationships/table" Target="../tables/table24.xml"/><Relationship  Id="rId18" Type="http://schemas.openxmlformats.org/officeDocument/2006/relationships/table" Target="../tables/table25.xml"/><Relationship  Id="rId19" Type="http://schemas.openxmlformats.org/officeDocument/2006/relationships/table" Target="../tables/table26.xml"/><Relationship  Id="rId2" Type="http://schemas.openxmlformats.org/officeDocument/2006/relationships/table" Target="../tables/table9.xml"/><Relationship  Id="rId20" Type="http://schemas.openxmlformats.org/officeDocument/2006/relationships/table" Target="../tables/table27.xml"/><Relationship  Id="rId21" Type="http://schemas.openxmlformats.org/officeDocument/2006/relationships/table" Target="../tables/table28.xml"/><Relationship  Id="rId22" Type="http://schemas.openxmlformats.org/officeDocument/2006/relationships/table" Target="../tables/table29.xml"/><Relationship  Id="rId23" Type="http://schemas.openxmlformats.org/officeDocument/2006/relationships/table" Target="../tables/table30.xml"/><Relationship  Id="rId24" Type="http://schemas.openxmlformats.org/officeDocument/2006/relationships/table" Target="../tables/table31.xml"/><Relationship  Id="rId25" Type="http://schemas.openxmlformats.org/officeDocument/2006/relationships/table" Target="../tables/table32.xml"/><Relationship  Id="rId26" Type="http://schemas.openxmlformats.org/officeDocument/2006/relationships/table" Target="../tables/table33.xml"/><Relationship  Id="rId27" Type="http://schemas.openxmlformats.org/officeDocument/2006/relationships/table" Target="../tables/table34.xml"/><Relationship  Id="rId28" Type="http://schemas.openxmlformats.org/officeDocument/2006/relationships/table" Target="../tables/table35.xml"/><Relationship  Id="rId29" Type="http://schemas.openxmlformats.org/officeDocument/2006/relationships/table" Target="../tables/table36.xml"/><Relationship  Id="rId3" Type="http://schemas.openxmlformats.org/officeDocument/2006/relationships/table" Target="../tables/table10.xml"/><Relationship  Id="rId30" Type="http://schemas.openxmlformats.org/officeDocument/2006/relationships/table" Target="../tables/table37.xml"/><Relationship  Id="rId31" Type="http://schemas.openxmlformats.org/officeDocument/2006/relationships/table" Target="../tables/table38.xml"/><Relationship  Id="rId32" Type="http://schemas.openxmlformats.org/officeDocument/2006/relationships/table" Target="../tables/table39.xml"/><Relationship  Id="rId33" Type="http://schemas.openxmlformats.org/officeDocument/2006/relationships/table" Target="../tables/table40.xml"/><Relationship  Id="rId34" Type="http://schemas.openxmlformats.org/officeDocument/2006/relationships/table" Target="../tables/table41.xml"/><Relationship  Id="rId35" Type="http://schemas.openxmlformats.org/officeDocument/2006/relationships/table" Target="../tables/table42.xml"/><Relationship  Id="rId36" Type="http://schemas.openxmlformats.org/officeDocument/2006/relationships/table" Target="../tables/table43.xml"/><Relationship  Id="rId4" Type="http://schemas.openxmlformats.org/officeDocument/2006/relationships/table" Target="../tables/table11.xml"/><Relationship  Id="rId5" Type="http://schemas.openxmlformats.org/officeDocument/2006/relationships/table" Target="../tables/table12.xml"/><Relationship  Id="rId6" Type="http://schemas.openxmlformats.org/officeDocument/2006/relationships/table" Target="../tables/table13.xml"/><Relationship  Id="rId7" Type="http://schemas.openxmlformats.org/officeDocument/2006/relationships/table" Target="../tables/table14.xml"/><Relationship  Id="rId8" Type="http://schemas.openxmlformats.org/officeDocument/2006/relationships/table" Target="../tables/table15.xml"/><Relationship  Id="rId9" Type="http://schemas.openxmlformats.org/officeDocument/2006/relationships/table" Target="../tables/table16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hyperlink" Target="http://elizabethmuno30@gmail.com" TargetMode="External"/><Relationship 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70" workbookViewId="0">
      <selection activeCell="H2" activeCellId="0" sqref="H2"/>
    </sheetView>
  </sheetViews>
  <sheetFormatPr defaultColWidth="11.42578125" defaultRowHeight="20.449999999999999"/>
  <cols>
    <col bestFit="1" customWidth="1" min="1" max="1" style="1" width="29.140625"/>
    <col bestFit="1" customWidth="1" min="2" max="2" style="1" width="36.42578125"/>
    <col customWidth="1" min="3" max="3" style="1" width="36.42578125"/>
    <col bestFit="1" customWidth="1" min="4" max="4" style="1" width="43.42578125"/>
    <col customWidth="1" min="5" max="5" style="1" width="36.42578125"/>
    <col customWidth="1" min="6" max="7" style="1" width="43.42578125"/>
    <col bestFit="1" customWidth="1" min="8" max="8" width="38.85546875"/>
  </cols>
  <sheetData>
    <row r="1" ht="21.60000000000000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</row>
    <row r="2" ht="21">
      <c r="A2" s="6" t="s">
        <v>8</v>
      </c>
      <c r="B2" s="7" t="s">
        <v>2</v>
      </c>
      <c r="C2" s="8" t="s">
        <v>2</v>
      </c>
      <c r="D2" s="9" t="s">
        <v>9</v>
      </c>
      <c r="E2" s="10" t="s">
        <v>4</v>
      </c>
      <c r="F2" s="11" t="s">
        <v>10</v>
      </c>
      <c r="G2" s="8" t="s">
        <v>11</v>
      </c>
      <c r="H2" s="9" t="s">
        <v>12</v>
      </c>
    </row>
    <row r="3">
      <c r="A3" s="11" t="s">
        <v>13</v>
      </c>
      <c r="B3" s="7" t="s">
        <v>3</v>
      </c>
      <c r="C3" s="7"/>
      <c r="D3" s="9" t="s">
        <v>14</v>
      </c>
      <c r="E3" s="7"/>
      <c r="F3" s="11" t="s">
        <v>15</v>
      </c>
      <c r="G3" s="8" t="s">
        <v>16</v>
      </c>
      <c r="H3" s="9" t="s">
        <v>17</v>
      </c>
    </row>
    <row r="4">
      <c r="A4" s="6" t="s">
        <v>18</v>
      </c>
      <c r="B4" s="12" t="s">
        <v>19</v>
      </c>
      <c r="C4" s="8"/>
      <c r="D4" s="9" t="s">
        <v>20</v>
      </c>
      <c r="E4" s="8"/>
      <c r="F4" s="11" t="s">
        <v>21</v>
      </c>
      <c r="G4" s="8"/>
    </row>
    <row r="5">
      <c r="A5" s="11" t="s">
        <v>22</v>
      </c>
      <c r="B5" s="12" t="s">
        <v>7</v>
      </c>
      <c r="D5" s="9" t="s">
        <v>23</v>
      </c>
      <c r="F5" s="11" t="s">
        <v>24</v>
      </c>
      <c r="G5" s="8"/>
    </row>
    <row r="6">
      <c r="D6" s="9" t="s">
        <v>25</v>
      </c>
      <c r="F6" s="11" t="s">
        <v>26</v>
      </c>
      <c r="G6" s="8"/>
    </row>
    <row r="7">
      <c r="D7" s="9" t="s">
        <v>27</v>
      </c>
      <c r="F7" s="11" t="s">
        <v>28</v>
      </c>
      <c r="G7" s="8"/>
    </row>
    <row r="8">
      <c r="D8" s="9" t="s">
        <v>29</v>
      </c>
      <c r="F8" s="11" t="s">
        <v>30</v>
      </c>
      <c r="G8" s="8"/>
    </row>
    <row r="9">
      <c r="D9" s="9" t="s">
        <v>31</v>
      </c>
      <c r="F9" s="11" t="s">
        <v>32</v>
      </c>
      <c r="G9" s="8"/>
    </row>
    <row r="10">
      <c r="D10" s="9" t="s">
        <v>33</v>
      </c>
      <c r="F10" s="11" t="s">
        <v>34</v>
      </c>
      <c r="G10" s="8"/>
    </row>
    <row r="11">
      <c r="D11" s="9" t="s">
        <v>35</v>
      </c>
      <c r="F11" s="11" t="s">
        <v>36</v>
      </c>
      <c r="G11" s="8"/>
    </row>
    <row r="12">
      <c r="D12" s="9" t="s">
        <v>37</v>
      </c>
      <c r="F12" s="11" t="s">
        <v>38</v>
      </c>
      <c r="G12" s="8"/>
    </row>
    <row r="13">
      <c r="D13" s="9" t="s">
        <v>39</v>
      </c>
      <c r="F13" s="11" t="s">
        <v>40</v>
      </c>
      <c r="G13" s="8"/>
    </row>
    <row r="14">
      <c r="D14" s="9" t="s">
        <v>41</v>
      </c>
      <c r="F14" s="11" t="s">
        <v>42</v>
      </c>
      <c r="G14" s="8"/>
    </row>
    <row r="15">
      <c r="D15" s="9" t="s">
        <v>43</v>
      </c>
      <c r="F15" s="11" t="s">
        <v>44</v>
      </c>
      <c r="G15" s="8"/>
    </row>
    <row r="16">
      <c r="D16" s="9" t="s">
        <v>45</v>
      </c>
      <c r="F16" s="11" t="s">
        <v>46</v>
      </c>
      <c r="G16" s="8"/>
    </row>
    <row r="17">
      <c r="D17" s="9" t="s">
        <v>47</v>
      </c>
      <c r="G17" s="8"/>
    </row>
    <row r="18">
      <c r="D18" s="9" t="s">
        <v>48</v>
      </c>
      <c r="G18" s="8"/>
    </row>
    <row r="19">
      <c r="B19" s="8"/>
      <c r="C19" s="8"/>
      <c r="D19" s="9" t="s">
        <v>49</v>
      </c>
      <c r="E19" s="8"/>
      <c r="G19" s="8"/>
    </row>
    <row r="20">
      <c r="D20" s="9" t="s">
        <v>50</v>
      </c>
      <c r="G20" s="8"/>
    </row>
    <row r="21">
      <c r="D21" s="9" t="s">
        <v>51</v>
      </c>
      <c r="G21" s="8"/>
    </row>
    <row r="22">
      <c r="D22" s="9" t="s">
        <v>52</v>
      </c>
      <c r="G22" s="8"/>
    </row>
    <row r="23">
      <c r="D23" s="9" t="s">
        <v>53</v>
      </c>
      <c r="G23" s="8"/>
    </row>
    <row r="24">
      <c r="D24" s="9" t="s">
        <v>54</v>
      </c>
      <c r="F24" s="8"/>
      <c r="G24" s="8"/>
    </row>
    <row r="25">
      <c r="D25" s="9" t="s">
        <v>55</v>
      </c>
      <c r="G25" s="8"/>
    </row>
    <row r="26">
      <c r="D26" s="9" t="s">
        <v>56</v>
      </c>
      <c r="G26" s="8"/>
    </row>
    <row r="27">
      <c r="D27" s="9" t="s">
        <v>57</v>
      </c>
      <c r="G27" s="8"/>
    </row>
    <row r="28">
      <c r="D28" s="9" t="s">
        <v>58</v>
      </c>
      <c r="G28" s="8"/>
    </row>
    <row r="29">
      <c r="D29" s="9" t="s">
        <v>59</v>
      </c>
      <c r="G29" s="8"/>
    </row>
    <row r="30">
      <c r="D30" s="9" t="s">
        <v>60</v>
      </c>
      <c r="G30" s="8"/>
    </row>
    <row r="31">
      <c r="D31" s="9" t="s">
        <v>61</v>
      </c>
      <c r="G31" s="8"/>
    </row>
    <row r="32">
      <c r="D32" s="9" t="s">
        <v>62</v>
      </c>
      <c r="G32" s="8"/>
    </row>
    <row r="33">
      <c r="D33" s="9" t="s">
        <v>63</v>
      </c>
      <c r="G33" s="8"/>
    </row>
    <row r="34">
      <c r="D34" s="9" t="s">
        <v>64</v>
      </c>
      <c r="G34" s="8"/>
    </row>
    <row r="35">
      <c r="D35" s="9" t="s">
        <v>65</v>
      </c>
      <c r="G35" s="8"/>
    </row>
    <row r="36">
      <c r="D36" s="9" t="s">
        <v>66</v>
      </c>
      <c r="G36" s="8"/>
    </row>
    <row r="37">
      <c r="D37" s="9" t="s">
        <v>67</v>
      </c>
      <c r="G37" s="8"/>
    </row>
    <row r="38">
      <c r="D38" s="9" t="s">
        <v>68</v>
      </c>
      <c r="G38" s="8"/>
    </row>
    <row r="39">
      <c r="D39" s="9" t="s">
        <v>69</v>
      </c>
      <c r="G39" s="8"/>
    </row>
    <row r="40">
      <c r="D40" s="9" t="s">
        <v>70</v>
      </c>
      <c r="G40" s="8"/>
    </row>
    <row r="41">
      <c r="D41" s="9" t="s">
        <v>71</v>
      </c>
      <c r="G41" s="8"/>
    </row>
    <row r="42">
      <c r="D42" s="9" t="s">
        <v>72</v>
      </c>
      <c r="G42" s="8"/>
    </row>
    <row r="43">
      <c r="D43" s="9" t="s">
        <v>73</v>
      </c>
      <c r="G43" s="8"/>
    </row>
    <row r="44">
      <c r="D44" s="9" t="s">
        <v>74</v>
      </c>
      <c r="G44" s="8"/>
    </row>
    <row r="45">
      <c r="D45" s="9" t="s">
        <v>75</v>
      </c>
      <c r="G45" s="8"/>
    </row>
    <row r="46">
      <c r="D46" s="9" t="s">
        <v>76</v>
      </c>
      <c r="G46" s="8"/>
    </row>
    <row r="47">
      <c r="D47" s="9" t="s">
        <v>77</v>
      </c>
      <c r="G47" s="8"/>
    </row>
    <row r="48">
      <c r="D48" s="9" t="s">
        <v>78</v>
      </c>
      <c r="G48" s="8"/>
    </row>
    <row r="49">
      <c r="D49" s="9" t="s">
        <v>79</v>
      </c>
      <c r="G49" s="8"/>
    </row>
    <row r="50">
      <c r="D50" s="9" t="s">
        <v>80</v>
      </c>
      <c r="G50" s="8"/>
    </row>
    <row r="51">
      <c r="D51" s="9" t="s">
        <v>81</v>
      </c>
      <c r="G51" s="8"/>
    </row>
    <row r="52">
      <c r="D52" s="9" t="s">
        <v>82</v>
      </c>
      <c r="G52" s="8"/>
    </row>
    <row r="53">
      <c r="D53" s="9" t="s">
        <v>83</v>
      </c>
      <c r="G53" s="8"/>
    </row>
    <row r="54">
      <c r="D54" s="9" t="s">
        <v>84</v>
      </c>
      <c r="G54" s="8"/>
    </row>
    <row r="55">
      <c r="D55" s="9" t="s">
        <v>85</v>
      </c>
      <c r="G55" s="8"/>
    </row>
    <row r="56">
      <c r="D56" s="9" t="s">
        <v>86</v>
      </c>
      <c r="G56" s="8"/>
    </row>
    <row r="57">
      <c r="D57" s="9" t="s">
        <v>87</v>
      </c>
      <c r="G57" s="8"/>
    </row>
    <row r="58">
      <c r="D58" s="9" t="s">
        <v>88</v>
      </c>
      <c r="G58" s="8"/>
    </row>
    <row r="59">
      <c r="D59" s="9" t="s">
        <v>89</v>
      </c>
      <c r="G59" s="8"/>
    </row>
    <row r="60">
      <c r="D60" s="9" t="s">
        <v>90</v>
      </c>
      <c r="G60" s="8"/>
    </row>
    <row r="61">
      <c r="D61" s="9" t="s">
        <v>91</v>
      </c>
      <c r="G61" s="8"/>
    </row>
    <row r="62">
      <c r="D62" s="9" t="s">
        <v>92</v>
      </c>
      <c r="G62" s="8"/>
    </row>
    <row r="63">
      <c r="D63" s="9" t="s">
        <v>93</v>
      </c>
      <c r="G63" s="8"/>
    </row>
    <row r="64">
      <c r="D64" s="9" t="s">
        <v>94</v>
      </c>
      <c r="G64" s="8"/>
    </row>
    <row r="65">
      <c r="D65" s="9" t="s">
        <v>95</v>
      </c>
      <c r="G65" s="8"/>
    </row>
    <row r="66">
      <c r="D66" s="9" t="s">
        <v>96</v>
      </c>
      <c r="G66" s="8"/>
    </row>
    <row r="67">
      <c r="D67" s="9" t="s">
        <v>97</v>
      </c>
      <c r="G67" s="8"/>
    </row>
    <row r="68">
      <c r="D68" s="9" t="s">
        <v>98</v>
      </c>
      <c r="G68" s="8"/>
    </row>
    <row r="69">
      <c r="D69" s="9" t="s">
        <v>99</v>
      </c>
      <c r="G69" s="8"/>
    </row>
    <row r="70">
      <c r="D70" s="9" t="s">
        <v>100</v>
      </c>
      <c r="G70" s="8"/>
    </row>
    <row r="71">
      <c r="D71" s="9" t="s">
        <v>101</v>
      </c>
      <c r="G71" s="8"/>
    </row>
    <row r="72">
      <c r="D72" s="9" t="s">
        <v>102</v>
      </c>
      <c r="G72" s="8"/>
    </row>
    <row r="73">
      <c r="D73" s="9" t="s">
        <v>103</v>
      </c>
      <c r="G73" s="8"/>
    </row>
    <row r="74">
      <c r="D74" s="9" t="s">
        <v>104</v>
      </c>
      <c r="G74" s="8"/>
    </row>
    <row r="75">
      <c r="D75" s="9" t="s">
        <v>105</v>
      </c>
      <c r="G75" s="8"/>
    </row>
    <row r="76">
      <c r="D76" s="9" t="s">
        <v>106</v>
      </c>
      <c r="G76" s="8"/>
    </row>
    <row r="77">
      <c r="D77" s="9" t="s">
        <v>107</v>
      </c>
      <c r="G77" s="8"/>
    </row>
    <row r="78">
      <c r="D78" s="9" t="s">
        <v>108</v>
      </c>
      <c r="G78" s="8"/>
    </row>
    <row r="79">
      <c r="D79" s="9" t="s">
        <v>109</v>
      </c>
      <c r="G79" s="8"/>
    </row>
    <row r="80">
      <c r="D80" s="9" t="s">
        <v>110</v>
      </c>
      <c r="G80" s="8"/>
    </row>
    <row r="81">
      <c r="D81" s="9" t="s">
        <v>111</v>
      </c>
      <c r="G81" s="8"/>
    </row>
    <row r="82">
      <c r="D82" s="9" t="s">
        <v>112</v>
      </c>
      <c r="G82" s="8"/>
    </row>
    <row r="83">
      <c r="D83" s="9" t="s">
        <v>113</v>
      </c>
      <c r="G83" s="8"/>
    </row>
    <row r="84">
      <c r="D84" s="9" t="s">
        <v>114</v>
      </c>
      <c r="G84" s="8"/>
    </row>
    <row r="85">
      <c r="D85" s="9" t="s">
        <v>115</v>
      </c>
      <c r="G85" s="8"/>
    </row>
    <row r="86">
      <c r="D86" s="9" t="s">
        <v>116</v>
      </c>
      <c r="G86" s="8"/>
    </row>
    <row r="87">
      <c r="D87" s="9" t="s">
        <v>117</v>
      </c>
      <c r="G87" s="8"/>
    </row>
    <row r="88">
      <c r="D88" s="13" t="s">
        <v>118</v>
      </c>
      <c r="G88" s="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53" zoomScale="100" workbookViewId="0">
      <selection activeCell="G78" activeCellId="0" sqref="G78"/>
    </sheetView>
  </sheetViews>
  <sheetFormatPr defaultColWidth="11.42578125" defaultRowHeight="13.15"/>
  <cols>
    <col bestFit="1" customWidth="1" min="1" max="1" width="93.85546875"/>
    <col customWidth="1" min="3" max="3" width="13.140625"/>
    <col bestFit="1" customWidth="1" min="4" max="4" width="32.42578125"/>
    <col customWidth="1" min="6" max="6" width="20.28515625"/>
    <col bestFit="1" customWidth="1" min="7" max="7" width="103.140625"/>
    <col customWidth="1" min="10" max="10" width="22"/>
    <col customWidth="1" min="11" max="11" width="18.5703125"/>
    <col customWidth="1" min="12" max="12" width="19.5703125"/>
    <col customWidth="1" min="18" max="18" width="35"/>
    <col customWidth="1" min="19" max="19" width="22.28515625"/>
    <col customWidth="1" min="20" max="20" width="19.5703125"/>
  </cols>
  <sheetData>
    <row r="1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  <c r="Q1" t="s">
        <v>135</v>
      </c>
      <c r="R1" t="s">
        <v>136</v>
      </c>
      <c r="S1" t="s">
        <v>137</v>
      </c>
      <c r="T1" t="s">
        <v>138</v>
      </c>
    </row>
    <row r="2">
      <c r="A2" s="5" t="s">
        <v>139</v>
      </c>
      <c r="B2" s="5" t="s">
        <v>139</v>
      </c>
      <c r="C2" s="5" t="s">
        <v>139</v>
      </c>
      <c r="D2" s="5" t="s">
        <v>139</v>
      </c>
      <c r="E2" s="5" t="s">
        <v>139</v>
      </c>
      <c r="F2" s="5" t="s">
        <v>139</v>
      </c>
      <c r="G2" s="5" t="s">
        <v>139</v>
      </c>
      <c r="H2" s="5" t="s">
        <v>139</v>
      </c>
      <c r="I2" s="5" t="s">
        <v>139</v>
      </c>
      <c r="J2" s="5" t="s">
        <v>139</v>
      </c>
      <c r="K2" s="5" t="s">
        <v>139</v>
      </c>
      <c r="L2" s="5" t="s">
        <v>139</v>
      </c>
      <c r="M2" s="5" t="s">
        <v>139</v>
      </c>
      <c r="N2" s="5" t="s">
        <v>139</v>
      </c>
      <c r="O2" s="5" t="s">
        <v>139</v>
      </c>
      <c r="P2" s="5" t="s">
        <v>139</v>
      </c>
      <c r="Q2" s="5" t="s">
        <v>139</v>
      </c>
      <c r="R2" s="5" t="s">
        <v>139</v>
      </c>
      <c r="S2" s="5" t="s">
        <v>139</v>
      </c>
      <c r="T2" s="5" t="s">
        <v>139</v>
      </c>
    </row>
    <row r="3">
      <c r="A3" t="str">
        <f>_xlfn.CONCAT(TBL_Sedes[[#This Row],[Ciudad]]," ",TBL_Sedes[[#This Row],[Nombre de la sede]])</f>
        <v xml:space="preserve">Aguachica Centro Agroempresarial</v>
      </c>
      <c r="B3">
        <v>74</v>
      </c>
      <c r="C3">
        <v>95201000</v>
      </c>
      <c r="D3" t="s">
        <v>140</v>
      </c>
      <c r="E3" t="s">
        <v>141</v>
      </c>
      <c r="F3" t="s">
        <v>142</v>
      </c>
      <c r="G3" t="s">
        <v>143</v>
      </c>
      <c r="H3" t="s">
        <v>144</v>
      </c>
      <c r="I3" t="s">
        <v>145</v>
      </c>
      <c r="J3" t="s">
        <v>146</v>
      </c>
      <c r="K3" t="s">
        <v>147</v>
      </c>
      <c r="L3" t="s">
        <v>147</v>
      </c>
      <c r="M3" t="s">
        <v>148</v>
      </c>
      <c r="N3" t="s">
        <v>149</v>
      </c>
      <c r="O3" t="s">
        <v>150</v>
      </c>
      <c r="P3">
        <v>3158722597</v>
      </c>
      <c r="Q3">
        <v>53280</v>
      </c>
      <c r="R3" t="s">
        <v>151</v>
      </c>
      <c r="S3" t="s">
        <v>147</v>
      </c>
      <c r="T3" t="s">
        <v>147</v>
      </c>
    </row>
    <row r="4">
      <c r="A4" t="str">
        <f>_xlfn.CONCAT(TBL_Sedes[[#This Row],[Ciudad]]," ",TBL_Sedes[[#This Row],[Nombre de la sede]])</f>
        <v xml:space="preserve">Apartadó Complejo Tecnológico Agroindustrial, Pecuario Y Turístico </v>
      </c>
      <c r="B4">
        <v>18</v>
      </c>
      <c r="C4">
        <v>95041000</v>
      </c>
      <c r="D4" t="s">
        <v>152</v>
      </c>
      <c r="E4" t="s">
        <v>153</v>
      </c>
      <c r="F4" t="s">
        <v>154</v>
      </c>
      <c r="G4" t="s">
        <v>155</v>
      </c>
      <c r="H4" t="s">
        <v>144</v>
      </c>
      <c r="I4" t="s">
        <v>156</v>
      </c>
      <c r="J4" t="s">
        <v>157</v>
      </c>
      <c r="K4" t="s">
        <v>158</v>
      </c>
      <c r="L4" t="s">
        <v>147</v>
      </c>
      <c r="M4" t="s">
        <v>148</v>
      </c>
      <c r="N4" t="s">
        <v>159</v>
      </c>
      <c r="O4" t="s">
        <v>160</v>
      </c>
      <c r="P4">
        <v>3218304193</v>
      </c>
      <c r="Q4">
        <v>44223</v>
      </c>
      <c r="R4" t="s">
        <v>151</v>
      </c>
      <c r="S4" t="s">
        <v>147</v>
      </c>
      <c r="T4" t="s">
        <v>147</v>
      </c>
    </row>
    <row r="5">
      <c r="A5" t="str">
        <f>_xlfn.CONCAT(TBL_Sedes[[#This Row],[Ciudad]]," ",TBL_Sedes[[#This Row],[Nombre de la sede]])</f>
        <v xml:space="preserve">Arauca Centro De Gestión Y Desarrollo Agroindustrial De Arauca</v>
      </c>
      <c r="B5" t="s">
        <v>161</v>
      </c>
      <c r="C5">
        <v>95301000</v>
      </c>
      <c r="D5" t="s">
        <v>162</v>
      </c>
      <c r="E5" t="s">
        <v>162</v>
      </c>
      <c r="F5" t="s">
        <v>163</v>
      </c>
      <c r="G5" t="s">
        <v>164</v>
      </c>
      <c r="H5" t="s">
        <v>144</v>
      </c>
      <c r="I5" t="s">
        <v>156</v>
      </c>
      <c r="J5" t="s">
        <v>165</v>
      </c>
      <c r="K5" t="s">
        <v>147</v>
      </c>
      <c r="L5" t="s">
        <v>147</v>
      </c>
      <c r="M5" t="s">
        <v>148</v>
      </c>
      <c r="N5" t="s">
        <v>166</v>
      </c>
      <c r="O5" t="s">
        <v>167</v>
      </c>
      <c r="P5">
        <v>3144351804</v>
      </c>
      <c r="Q5">
        <v>74220</v>
      </c>
      <c r="R5" t="s">
        <v>168</v>
      </c>
      <c r="S5" t="s">
        <v>169</v>
      </c>
      <c r="T5" t="s">
        <v>170</v>
      </c>
    </row>
    <row r="6">
      <c r="A6" t="str">
        <f>_xlfn.CONCAT(TBL_Sedes[[#This Row],[Ciudad]]," ",TBL_Sedes[[#This Row],[Nombre de la sede]])</f>
        <v xml:space="preserve">Arauca Escuela De Gastronomía</v>
      </c>
      <c r="B6">
        <v>306</v>
      </c>
      <c r="C6">
        <v>95301005</v>
      </c>
      <c r="D6" t="s">
        <v>162</v>
      </c>
      <c r="E6" t="s">
        <v>162</v>
      </c>
      <c r="F6" t="s">
        <v>171</v>
      </c>
      <c r="G6" t="s">
        <v>172</v>
      </c>
      <c r="H6" t="s">
        <v>173</v>
      </c>
      <c r="I6" t="s">
        <v>174</v>
      </c>
      <c r="J6" t="s">
        <v>175</v>
      </c>
      <c r="K6" t="s">
        <v>147</v>
      </c>
      <c r="L6" t="s">
        <v>147</v>
      </c>
      <c r="M6" t="s">
        <v>148</v>
      </c>
      <c r="N6" t="s">
        <v>166</v>
      </c>
      <c r="O6" t="s">
        <v>167</v>
      </c>
      <c r="P6">
        <v>3144351804</v>
      </c>
      <c r="Q6">
        <v>74220</v>
      </c>
      <c r="R6" t="s">
        <v>151</v>
      </c>
      <c r="S6" t="s">
        <v>147</v>
      </c>
      <c r="T6" t="s">
        <v>147</v>
      </c>
    </row>
    <row r="7">
      <c r="A7" t="str">
        <f>_xlfn.CONCAT(TBL_Sedes[[#This Row],[Ciudad]]," ",TBL_Sedes[[#This Row],[Nombre de la sede]])</f>
        <v xml:space="preserve">Arauca Regional Arauca</v>
      </c>
      <c r="B7">
        <v>167</v>
      </c>
      <c r="C7">
        <v>10108100</v>
      </c>
      <c r="D7" t="s">
        <v>162</v>
      </c>
      <c r="E7" t="s">
        <v>162</v>
      </c>
      <c r="F7" t="s">
        <v>176</v>
      </c>
      <c r="G7" t="s">
        <v>164</v>
      </c>
      <c r="H7" t="s">
        <v>122</v>
      </c>
      <c r="I7" t="s">
        <v>156</v>
      </c>
      <c r="J7" t="s">
        <v>165</v>
      </c>
      <c r="K7" t="s">
        <v>147</v>
      </c>
      <c r="L7" t="s">
        <v>147</v>
      </c>
      <c r="M7" t="s">
        <v>148</v>
      </c>
      <c r="N7" t="s">
        <v>166</v>
      </c>
      <c r="O7" t="s">
        <v>167</v>
      </c>
      <c r="P7">
        <v>3144351804</v>
      </c>
      <c r="Q7">
        <v>74220</v>
      </c>
      <c r="R7" t="s">
        <v>151</v>
      </c>
      <c r="S7" t="s">
        <v>147</v>
      </c>
      <c r="T7" t="s">
        <v>147</v>
      </c>
    </row>
    <row r="8">
      <c r="A8" t="str">
        <f>_xlfn.CONCAT(TBL_Sedes[[#This Row],[Ciudad]]," ",TBL_Sedes[[#This Row],[Nombre de la sede]])</f>
        <v xml:space="preserve">Arauca Tecnoacademia Arauca</v>
      </c>
      <c r="B8">
        <v>313</v>
      </c>
      <c r="C8">
        <v>95301005</v>
      </c>
      <c r="D8" t="s">
        <v>162</v>
      </c>
      <c r="E8" t="s">
        <v>162</v>
      </c>
      <c r="F8" t="s">
        <v>177</v>
      </c>
      <c r="G8" t="s">
        <v>178</v>
      </c>
      <c r="H8" t="s">
        <v>173</v>
      </c>
      <c r="I8" t="s">
        <v>174</v>
      </c>
      <c r="J8" t="s">
        <v>179</v>
      </c>
      <c r="K8" t="s">
        <v>180</v>
      </c>
      <c r="L8" t="s">
        <v>147</v>
      </c>
      <c r="M8" t="s">
        <v>148</v>
      </c>
      <c r="N8" t="s">
        <v>166</v>
      </c>
      <c r="O8" t="s">
        <v>167</v>
      </c>
      <c r="P8">
        <v>3144351804</v>
      </c>
      <c r="Q8">
        <v>74220</v>
      </c>
      <c r="R8" t="s">
        <v>168</v>
      </c>
      <c r="S8" t="s">
        <v>181</v>
      </c>
      <c r="T8" t="s">
        <v>182</v>
      </c>
    </row>
    <row r="9">
      <c r="A9" t="str">
        <f>_xlfn.CONCAT(TBL_Sedes[[#This Row],[Ciudad]]," ",TBL_Sedes[[#This Row],[Nombre de la sede]])</f>
        <v xml:space="preserve">Arauca Unidad De Emprendimiento Y Agencia Pública De Empleo</v>
      </c>
      <c r="B9">
        <v>240</v>
      </c>
      <c r="C9">
        <v>95301003</v>
      </c>
      <c r="D9" t="s">
        <v>162</v>
      </c>
      <c r="E9" t="s">
        <v>162</v>
      </c>
      <c r="F9" t="s">
        <v>183</v>
      </c>
      <c r="G9" t="s">
        <v>184</v>
      </c>
      <c r="H9" t="s">
        <v>173</v>
      </c>
      <c r="I9" t="s">
        <v>174</v>
      </c>
      <c r="J9" t="s">
        <v>165</v>
      </c>
      <c r="K9" t="s">
        <v>147</v>
      </c>
      <c r="L9" t="s">
        <v>147</v>
      </c>
      <c r="M9" t="s">
        <v>148</v>
      </c>
      <c r="N9" t="s">
        <v>166</v>
      </c>
      <c r="O9" t="s">
        <v>167</v>
      </c>
      <c r="P9">
        <v>3144351804</v>
      </c>
      <c r="Q9">
        <v>74220</v>
      </c>
      <c r="R9" t="s">
        <v>151</v>
      </c>
      <c r="S9" t="s">
        <v>147</v>
      </c>
      <c r="T9" t="s">
        <v>147</v>
      </c>
    </row>
    <row r="10">
      <c r="A10" t="str">
        <f>_xlfn.CONCAT(TBL_Sedes[[#This Row],[Ciudad]]," ",TBL_Sedes[[#This Row],[Nombre de la sede]])</f>
        <v xml:space="preserve">Arauquita Granja El Alcaraván Arauquita</v>
      </c>
      <c r="B10">
        <v>241</v>
      </c>
      <c r="C10">
        <v>95301004</v>
      </c>
      <c r="D10" t="s">
        <v>162</v>
      </c>
      <c r="E10" t="s">
        <v>185</v>
      </c>
      <c r="F10" t="s">
        <v>186</v>
      </c>
      <c r="G10" t="s">
        <v>187</v>
      </c>
      <c r="H10" t="s">
        <v>173</v>
      </c>
      <c r="I10" t="s">
        <v>174</v>
      </c>
      <c r="J10" t="s">
        <v>165</v>
      </c>
      <c r="K10" t="s">
        <v>147</v>
      </c>
      <c r="L10" t="s">
        <v>147</v>
      </c>
      <c r="M10" t="s">
        <v>148</v>
      </c>
      <c r="N10" t="s">
        <v>166</v>
      </c>
      <c r="O10" t="s">
        <v>167</v>
      </c>
      <c r="P10">
        <v>3144351804</v>
      </c>
      <c r="Q10">
        <v>74220</v>
      </c>
      <c r="R10" t="s">
        <v>151</v>
      </c>
      <c r="S10" t="s">
        <v>147</v>
      </c>
      <c r="T10" t="s">
        <v>147</v>
      </c>
    </row>
    <row r="11">
      <c r="A11" t="str">
        <f>_xlfn.CONCAT(TBL_Sedes[[#This Row],[Ciudad]]," ",TBL_Sedes[[#This Row],[Nombre de la sede]])</f>
        <v xml:space="preserve">Armenia Centro Agroindustrial</v>
      </c>
      <c r="B11" t="s">
        <v>188</v>
      </c>
      <c r="C11">
        <v>91201000</v>
      </c>
      <c r="D11" t="s">
        <v>189</v>
      </c>
      <c r="E11" t="s">
        <v>190</v>
      </c>
      <c r="F11" t="s">
        <v>191</v>
      </c>
      <c r="G11" t="s">
        <v>192</v>
      </c>
      <c r="H11" t="s">
        <v>144</v>
      </c>
      <c r="I11" t="s">
        <v>156</v>
      </c>
      <c r="J11" t="s">
        <v>193</v>
      </c>
      <c r="K11" t="s">
        <v>147</v>
      </c>
      <c r="L11" t="s">
        <v>147</v>
      </c>
      <c r="M11" t="s">
        <v>194</v>
      </c>
      <c r="N11" t="s">
        <v>195</v>
      </c>
      <c r="O11" t="s">
        <v>196</v>
      </c>
      <c r="P11">
        <v>3127992702</v>
      </c>
      <c r="Q11">
        <v>62815</v>
      </c>
      <c r="R11" t="s">
        <v>151</v>
      </c>
      <c r="S11" t="s">
        <v>147</v>
      </c>
      <c r="T11" t="s">
        <v>147</v>
      </c>
    </row>
    <row r="12">
      <c r="A12" t="str">
        <f>_xlfn.CONCAT(TBL_Sedes[[#This Row],[Ciudad]]," ",TBL_Sedes[[#This Row],[Nombre de la sede]])</f>
        <v xml:space="preserve">Armenia Centro De Comercio, Industria Y Turismo</v>
      </c>
      <c r="B12">
        <v>131</v>
      </c>
      <c r="C12">
        <v>95381000</v>
      </c>
      <c r="D12" t="s">
        <v>189</v>
      </c>
      <c r="E12" t="s">
        <v>190</v>
      </c>
      <c r="F12" t="s">
        <v>197</v>
      </c>
      <c r="G12" t="s">
        <v>198</v>
      </c>
      <c r="H12" t="s">
        <v>144</v>
      </c>
      <c r="I12" t="s">
        <v>156</v>
      </c>
      <c r="J12" t="s">
        <v>199</v>
      </c>
      <c r="K12" t="s">
        <v>200</v>
      </c>
      <c r="L12" t="s">
        <v>147</v>
      </c>
      <c r="M12" t="s">
        <v>148</v>
      </c>
      <c r="N12" t="s">
        <v>201</v>
      </c>
      <c r="O12" t="s">
        <v>202</v>
      </c>
      <c r="P12" t="s">
        <v>203</v>
      </c>
      <c r="Q12">
        <v>62670</v>
      </c>
    </row>
    <row r="13">
      <c r="A13" t="str">
        <f>_xlfn.CONCAT(TBL_Sedes[[#This Row],[Ciudad]]," ",TBL_Sedes[[#This Row],[Nombre de la sede]])</f>
        <v xml:space="preserve">Armenia Centro para el desarrollo tecnológico de la construcción y la industria</v>
      </c>
      <c r="B13">
        <v>197</v>
      </c>
      <c r="C13">
        <v>92311000</v>
      </c>
      <c r="D13" t="s">
        <v>189</v>
      </c>
      <c r="E13" t="s">
        <v>190</v>
      </c>
      <c r="F13" t="s">
        <v>204</v>
      </c>
      <c r="G13" t="s">
        <v>205</v>
      </c>
      <c r="H13" t="s">
        <v>144</v>
      </c>
      <c r="I13" t="s">
        <v>156</v>
      </c>
      <c r="J13" t="s">
        <v>206</v>
      </c>
      <c r="K13" t="s">
        <v>207</v>
      </c>
      <c r="L13" t="s">
        <v>147</v>
      </c>
      <c r="M13" t="s">
        <v>148</v>
      </c>
      <c r="N13" t="s">
        <v>208</v>
      </c>
      <c r="O13" t="s">
        <v>209</v>
      </c>
      <c r="P13" t="s">
        <v>210</v>
      </c>
      <c r="Q13">
        <v>62948</v>
      </c>
      <c r="R13" t="s">
        <v>151</v>
      </c>
      <c r="S13" t="s">
        <v>147</v>
      </c>
      <c r="T13" t="s">
        <v>147</v>
      </c>
    </row>
    <row r="14">
      <c r="A14" t="str">
        <f>_xlfn.CONCAT(TBL_Sedes[[#This Row],[Ciudad]]," ",TBL_Sedes[[#This Row],[Nombre de la sede]])</f>
        <v xml:space="preserve">Armenia Regional Quindío</v>
      </c>
      <c r="B14">
        <v>132</v>
      </c>
      <c r="C14">
        <v>10106300</v>
      </c>
      <c r="D14" t="s">
        <v>189</v>
      </c>
      <c r="E14" t="s">
        <v>190</v>
      </c>
      <c r="F14" t="s">
        <v>211</v>
      </c>
      <c r="G14" t="s">
        <v>212</v>
      </c>
      <c r="H14" t="s">
        <v>122</v>
      </c>
      <c r="I14" t="s">
        <v>156</v>
      </c>
      <c r="J14" t="s">
        <v>199</v>
      </c>
      <c r="K14" t="s">
        <v>147</v>
      </c>
      <c r="L14" t="s">
        <v>147</v>
      </c>
      <c r="M14" t="s">
        <v>194</v>
      </c>
      <c r="N14" t="s">
        <v>213</v>
      </c>
      <c r="O14" t="s">
        <v>214</v>
      </c>
      <c r="P14">
        <v>3103936263</v>
      </c>
      <c r="Q14">
        <v>62873</v>
      </c>
    </row>
    <row r="15">
      <c r="A15" t="str">
        <f>_xlfn.CONCAT(TBL_Sedes[[#This Row],[Ciudad]]," ",TBL_Sedes[[#This Row],[Nombre de la sede]])</f>
        <v xml:space="preserve">Armenia Tecnoacademia Armenia</v>
      </c>
      <c r="B15">
        <v>330</v>
      </c>
      <c r="C15">
        <v>91201050</v>
      </c>
      <c r="D15" t="s">
        <v>189</v>
      </c>
      <c r="E15" t="s">
        <v>190</v>
      </c>
      <c r="F15" t="s">
        <v>215</v>
      </c>
      <c r="G15" t="s">
        <v>216</v>
      </c>
      <c r="H15" t="s">
        <v>217</v>
      </c>
      <c r="I15" t="s">
        <v>174</v>
      </c>
      <c r="J15" t="s">
        <v>146</v>
      </c>
      <c r="K15" t="s">
        <v>218</v>
      </c>
      <c r="L15" t="s">
        <v>147</v>
      </c>
      <c r="M15" t="s">
        <v>148</v>
      </c>
      <c r="N15" t="s">
        <v>219</v>
      </c>
      <c r="O15" t="s">
        <v>196</v>
      </c>
      <c r="P15">
        <v>3127992702</v>
      </c>
      <c r="Q15">
        <v>62815</v>
      </c>
    </row>
    <row r="16">
      <c r="A16" t="str">
        <f>_xlfn.CONCAT(TBL_Sedes[[#This Row],[Ciudad]]," ",TBL_Sedes[[#This Row],[Nombre de la sede]])</f>
        <v xml:space="preserve">Baranoa Nodo de Confecciones</v>
      </c>
      <c r="B16">
        <v>351</v>
      </c>
      <c r="C16">
        <v>92081004</v>
      </c>
      <c r="D16" t="s">
        <v>220</v>
      </c>
      <c r="E16" t="s">
        <v>221</v>
      </c>
      <c r="F16" t="s">
        <v>222</v>
      </c>
      <c r="G16" t="s">
        <v>223</v>
      </c>
      <c r="H16" t="s">
        <v>224</v>
      </c>
      <c r="I16" t="s">
        <v>174</v>
      </c>
      <c r="J16" t="s">
        <v>225</v>
      </c>
      <c r="K16" t="s">
        <v>226</v>
      </c>
      <c r="L16" t="s">
        <v>147</v>
      </c>
      <c r="M16" t="s">
        <v>227</v>
      </c>
      <c r="N16" t="s">
        <v>228</v>
      </c>
      <c r="O16" t="s">
        <v>229</v>
      </c>
      <c r="P16">
        <v>3116568942</v>
      </c>
      <c r="Q16">
        <v>52300</v>
      </c>
    </row>
    <row r="17">
      <c r="A17" t="str">
        <f>_xlfn.CONCAT(TBL_Sedes[[#This Row],[Ciudad]]," ",TBL_Sedes[[#This Row],[Nombre de la sede]])</f>
        <v xml:space="preserve">Barrancabermeja Centro De Desarrollo Vecinal Cdv</v>
      </c>
      <c r="B17">
        <v>336</v>
      </c>
      <c r="C17">
        <v>95401050</v>
      </c>
      <c r="D17" t="s">
        <v>230</v>
      </c>
      <c r="E17" t="s">
        <v>231</v>
      </c>
      <c r="F17" t="s">
        <v>232</v>
      </c>
      <c r="G17" t="s">
        <v>233</v>
      </c>
      <c r="H17" t="s">
        <v>217</v>
      </c>
      <c r="I17" t="s">
        <v>174</v>
      </c>
      <c r="J17" t="s">
        <v>234</v>
      </c>
      <c r="K17" t="s">
        <v>147</v>
      </c>
      <c r="L17" t="s">
        <v>147</v>
      </c>
      <c r="M17" t="s">
        <v>148</v>
      </c>
      <c r="N17" t="s">
        <v>235</v>
      </c>
      <c r="O17" t="s">
        <v>236</v>
      </c>
      <c r="P17">
        <v>3205763757</v>
      </c>
      <c r="Q17">
        <v>73658</v>
      </c>
    </row>
    <row r="18">
      <c r="A18" t="str">
        <f>_xlfn.CONCAT(TBL_Sedes[[#This Row],[Ciudad]]," ",TBL_Sedes[[#This Row],[Nombre de la sede]])</f>
        <v xml:space="preserve">Barrancabermeja Centro Industrial Y Del Desarrollo Tecnológico</v>
      </c>
      <c r="B18">
        <v>143</v>
      </c>
      <c r="C18">
        <v>95401000</v>
      </c>
      <c r="D18" t="s">
        <v>230</v>
      </c>
      <c r="E18" t="s">
        <v>231</v>
      </c>
      <c r="F18" t="s">
        <v>237</v>
      </c>
      <c r="G18" t="s">
        <v>238</v>
      </c>
      <c r="H18" t="s">
        <v>144</v>
      </c>
      <c r="I18" t="s">
        <v>156</v>
      </c>
      <c r="J18" t="s">
        <v>234</v>
      </c>
      <c r="K18" t="s">
        <v>239</v>
      </c>
      <c r="L18" t="s">
        <v>147</v>
      </c>
      <c r="M18" t="s">
        <v>148</v>
      </c>
      <c r="N18" t="s">
        <v>235</v>
      </c>
      <c r="O18" t="s">
        <v>236</v>
      </c>
      <c r="P18">
        <v>3205763757</v>
      </c>
      <c r="Q18">
        <v>73658</v>
      </c>
      <c r="R18" t="s">
        <v>151</v>
      </c>
      <c r="S18" t="s">
        <v>147</v>
      </c>
      <c r="T18" t="s">
        <v>147</v>
      </c>
    </row>
    <row r="19">
      <c r="A19" t="str">
        <f>_xlfn.CONCAT(TBL_Sedes[[#This Row],[Ciudad]]," ",TBL_Sedes[[#This Row],[Nombre de la sede]])</f>
        <v xml:space="preserve">Barranquilla Centro De Comercio Y Servicios</v>
      </c>
      <c r="B19" t="s">
        <v>240</v>
      </c>
      <c r="C19">
        <v>93021000</v>
      </c>
      <c r="D19" t="s">
        <v>220</v>
      </c>
      <c r="E19" t="s">
        <v>241</v>
      </c>
      <c r="F19" t="s">
        <v>242</v>
      </c>
      <c r="G19" t="s">
        <v>243</v>
      </c>
      <c r="H19" t="s">
        <v>144</v>
      </c>
      <c r="I19" t="s">
        <v>156</v>
      </c>
      <c r="J19" t="s">
        <v>146</v>
      </c>
      <c r="K19" t="s">
        <v>147</v>
      </c>
      <c r="L19" t="s">
        <v>147</v>
      </c>
      <c r="M19" t="s">
        <v>148</v>
      </c>
      <c r="N19" t="s">
        <v>244</v>
      </c>
      <c r="O19" t="s">
        <v>245</v>
      </c>
      <c r="P19">
        <v>3024012301</v>
      </c>
      <c r="Q19">
        <v>52734</v>
      </c>
    </row>
    <row r="20">
      <c r="A20" t="str">
        <f>_xlfn.CONCAT(TBL_Sedes[[#This Row],[Ciudad]]," ",TBL_Sedes[[#This Row],[Nombre de la sede]])</f>
        <v xml:space="preserve">Barranquilla Centro Industrial Y De Aviación</v>
      </c>
      <c r="B20" t="s">
        <v>246</v>
      </c>
      <c r="C20">
        <v>92081000</v>
      </c>
      <c r="D20" t="s">
        <v>220</v>
      </c>
      <c r="E20" t="s">
        <v>241</v>
      </c>
      <c r="F20" t="s">
        <v>247</v>
      </c>
      <c r="G20" t="s">
        <v>248</v>
      </c>
      <c r="H20" t="s">
        <v>144</v>
      </c>
      <c r="I20" t="s">
        <v>156</v>
      </c>
      <c r="J20" t="s">
        <v>249</v>
      </c>
      <c r="K20" t="s">
        <v>250</v>
      </c>
      <c r="L20" t="s">
        <v>147</v>
      </c>
      <c r="M20" t="s">
        <v>148</v>
      </c>
      <c r="N20" t="s">
        <v>228</v>
      </c>
      <c r="O20" t="s">
        <v>229</v>
      </c>
      <c r="P20">
        <v>3116568942</v>
      </c>
      <c r="Q20">
        <v>52300</v>
      </c>
    </row>
    <row r="21">
      <c r="A21" t="str">
        <f>_xlfn.CONCAT(TBL_Sedes[[#This Row],[Ciudad]]," ",TBL_Sedes[[#This Row],[Nombre de la sede]])</f>
        <v xml:space="preserve">Barranquilla Centro Nacional Colombo Alemán</v>
      </c>
      <c r="B21">
        <v>21</v>
      </c>
      <c r="C21">
        <v>92071000</v>
      </c>
      <c r="D21" t="s">
        <v>220</v>
      </c>
      <c r="E21" t="s">
        <v>241</v>
      </c>
      <c r="F21" t="s">
        <v>251</v>
      </c>
      <c r="G21" t="s">
        <v>248</v>
      </c>
      <c r="H21" t="s">
        <v>144</v>
      </c>
      <c r="I21" t="s">
        <v>156</v>
      </c>
      <c r="J21" t="s">
        <v>165</v>
      </c>
      <c r="K21" t="s">
        <v>252</v>
      </c>
      <c r="L21" t="s">
        <v>147</v>
      </c>
      <c r="M21" t="s">
        <v>148</v>
      </c>
      <c r="N21" t="s">
        <v>228</v>
      </c>
      <c r="O21" t="s">
        <v>229</v>
      </c>
      <c r="P21">
        <v>3116568942</v>
      </c>
      <c r="Q21">
        <v>52300</v>
      </c>
      <c r="R21" t="s">
        <v>151</v>
      </c>
      <c r="S21" t="s">
        <v>147</v>
      </c>
      <c r="T21" t="s">
        <v>147</v>
      </c>
    </row>
    <row r="22">
      <c r="A22" t="str">
        <f>_xlfn.CONCAT(TBL_Sedes[[#This Row],[Ciudad]]," ",TBL_Sedes[[#This Row],[Nombre de la sede]])</f>
        <v xml:space="preserve">Barranquilla Hangar Caribe Verde</v>
      </c>
      <c r="B22">
        <v>352</v>
      </c>
      <c r="C22">
        <v>92081005</v>
      </c>
      <c r="D22" t="s">
        <v>220</v>
      </c>
      <c r="E22" t="s">
        <v>241</v>
      </c>
      <c r="F22" t="s">
        <v>253</v>
      </c>
      <c r="G22" t="s">
        <v>254</v>
      </c>
      <c r="H22" t="s">
        <v>224</v>
      </c>
      <c r="I22" t="s">
        <v>174</v>
      </c>
      <c r="J22" t="s">
        <v>255</v>
      </c>
      <c r="K22" t="s">
        <v>147</v>
      </c>
      <c r="L22" t="s">
        <v>147</v>
      </c>
      <c r="M22" t="s">
        <v>148</v>
      </c>
      <c r="N22" t="s">
        <v>244</v>
      </c>
      <c r="O22" t="s">
        <v>245</v>
      </c>
      <c r="P22">
        <v>3024012301</v>
      </c>
      <c r="Q22" t="s">
        <v>256</v>
      </c>
    </row>
    <row r="23">
      <c r="A23" t="str">
        <f>_xlfn.CONCAT(TBL_Sedes[[#This Row],[Ciudad]]," ",TBL_Sedes[[#This Row],[Nombre de la sede]])</f>
        <v xml:space="preserve">Barranquilla Logística Y Transporte</v>
      </c>
      <c r="B23">
        <v>273</v>
      </c>
      <c r="C23">
        <v>93021001</v>
      </c>
      <c r="D23" t="s">
        <v>220</v>
      </c>
      <c r="E23" t="s">
        <v>241</v>
      </c>
      <c r="F23" t="s">
        <v>257</v>
      </c>
      <c r="G23" t="s">
        <v>258</v>
      </c>
      <c r="H23" t="s">
        <v>173</v>
      </c>
      <c r="I23" t="s">
        <v>145</v>
      </c>
      <c r="J23" t="s">
        <v>259</v>
      </c>
      <c r="K23" t="s">
        <v>147</v>
      </c>
      <c r="L23" t="s">
        <v>147</v>
      </c>
      <c r="M23" t="s">
        <v>148</v>
      </c>
      <c r="N23" t="s">
        <v>244</v>
      </c>
      <c r="O23" t="s">
        <v>245</v>
      </c>
      <c r="P23">
        <v>3024012301</v>
      </c>
      <c r="Q23">
        <v>52734</v>
      </c>
    </row>
    <row r="24">
      <c r="A24" t="str">
        <f>_xlfn.CONCAT(TBL_Sedes[[#This Row],[Ciudad]]," ",TBL_Sedes[[#This Row],[Nombre de la sede]])</f>
        <v xml:space="preserve">Barranquilla Nodo Construcción E Infraestructura</v>
      </c>
      <c r="B24">
        <v>272</v>
      </c>
      <c r="C24">
        <v>92081001</v>
      </c>
      <c r="D24" t="s">
        <v>220</v>
      </c>
      <c r="E24" t="s">
        <v>241</v>
      </c>
      <c r="F24" t="s">
        <v>260</v>
      </c>
      <c r="G24" t="s">
        <v>261</v>
      </c>
      <c r="H24" t="s">
        <v>173</v>
      </c>
      <c r="I24" t="s">
        <v>145</v>
      </c>
      <c r="J24" t="s">
        <v>259</v>
      </c>
      <c r="K24" t="s">
        <v>147</v>
      </c>
      <c r="L24" t="s">
        <v>147</v>
      </c>
      <c r="M24" t="s">
        <v>148</v>
      </c>
      <c r="N24" t="s">
        <v>228</v>
      </c>
      <c r="O24" t="s">
        <v>229</v>
      </c>
      <c r="P24">
        <v>3116568942</v>
      </c>
      <c r="Q24">
        <v>52300</v>
      </c>
      <c r="R24" t="s">
        <v>262</v>
      </c>
      <c r="S24" t="s">
        <v>147</v>
      </c>
      <c r="T24" t="s">
        <v>147</v>
      </c>
    </row>
    <row r="25">
      <c r="A25" t="str">
        <f>_xlfn.CONCAT(TBL_Sedes[[#This Row],[Ciudad]]," ",TBL_Sedes[[#This Row],[Nombre de la sede]])</f>
        <v xml:space="preserve">Barranquilla Nodo De Hotelería Y Turismo</v>
      </c>
      <c r="B25">
        <v>287</v>
      </c>
      <c r="C25">
        <v>93021002</v>
      </c>
      <c r="D25" t="s">
        <v>220</v>
      </c>
      <c r="E25" t="s">
        <v>241</v>
      </c>
      <c r="F25" t="s">
        <v>263</v>
      </c>
      <c r="G25" t="s">
        <v>264</v>
      </c>
      <c r="H25" t="s">
        <v>173</v>
      </c>
      <c r="I25" t="s">
        <v>174</v>
      </c>
      <c r="J25" t="s">
        <v>259</v>
      </c>
      <c r="K25" t="s">
        <v>147</v>
      </c>
      <c r="L25" t="s">
        <v>147</v>
      </c>
      <c r="M25" t="s">
        <v>148</v>
      </c>
      <c r="N25" t="s">
        <v>244</v>
      </c>
      <c r="O25" t="s">
        <v>245</v>
      </c>
      <c r="P25">
        <v>3024012301</v>
      </c>
      <c r="Q25">
        <v>52734</v>
      </c>
    </row>
    <row r="26">
      <c r="A26" t="str">
        <f>_xlfn.CONCAT(TBL_Sedes[[#This Row],[Ciudad]]," ",TBL_Sedes[[#This Row],[Nombre de la sede]])</f>
        <v xml:space="preserve">Barranquilla Nodo De Industrias Creativas</v>
      </c>
      <c r="B26">
        <v>288</v>
      </c>
      <c r="C26">
        <v>91031002</v>
      </c>
      <c r="D26" t="s">
        <v>220</v>
      </c>
      <c r="E26" t="s">
        <v>241</v>
      </c>
      <c r="F26" t="s">
        <v>265</v>
      </c>
      <c r="G26" t="s">
        <v>266</v>
      </c>
      <c r="H26" t="s">
        <v>173</v>
      </c>
      <c r="I26" t="s">
        <v>174</v>
      </c>
      <c r="J26" t="s">
        <v>259</v>
      </c>
      <c r="K26" t="s">
        <v>147</v>
      </c>
      <c r="L26" t="s">
        <v>147</v>
      </c>
      <c r="M26" t="s">
        <v>148</v>
      </c>
      <c r="N26" t="s">
        <v>228</v>
      </c>
      <c r="O26" t="s">
        <v>229</v>
      </c>
      <c r="P26">
        <v>3116568942</v>
      </c>
      <c r="Q26">
        <v>52300</v>
      </c>
      <c r="R26" t="s">
        <v>151</v>
      </c>
      <c r="S26" t="s">
        <v>147</v>
      </c>
      <c r="T26" t="s">
        <v>147</v>
      </c>
    </row>
    <row r="27">
      <c r="A27" t="str">
        <f>_xlfn.CONCAT(TBL_Sedes[[#This Row],[Ciudad]]," ",TBL_Sedes[[#This Row],[Nombre de la sede]])</f>
        <v xml:space="preserve">Barranquilla Nodo Multilingüismo</v>
      </c>
      <c r="B27">
        <v>290</v>
      </c>
      <c r="C27">
        <v>92081002</v>
      </c>
      <c r="D27" t="s">
        <v>220</v>
      </c>
      <c r="E27" t="s">
        <v>241</v>
      </c>
      <c r="F27" t="s">
        <v>267</v>
      </c>
      <c r="G27" t="s">
        <v>268</v>
      </c>
      <c r="H27" t="s">
        <v>173</v>
      </c>
      <c r="I27" t="s">
        <v>174</v>
      </c>
      <c r="J27" t="s">
        <v>259</v>
      </c>
      <c r="K27" t="s">
        <v>147</v>
      </c>
      <c r="L27" t="s">
        <v>147</v>
      </c>
      <c r="M27" t="s">
        <v>148</v>
      </c>
      <c r="N27" t="s">
        <v>228</v>
      </c>
      <c r="O27" t="s">
        <v>229</v>
      </c>
      <c r="P27">
        <v>3116568942</v>
      </c>
      <c r="Q27">
        <v>52300</v>
      </c>
      <c r="R27" t="s">
        <v>151</v>
      </c>
      <c r="S27" t="s">
        <v>147</v>
      </c>
      <c r="T27" t="s">
        <v>147</v>
      </c>
    </row>
    <row r="28">
      <c r="A28" t="str">
        <f>_xlfn.CONCAT(TBL_Sedes[[#This Row],[Ciudad]]," ",TBL_Sedes[[#This Row],[Nombre de la sede]])</f>
        <v xml:space="preserve">Barranquilla Nodo Refrigeración</v>
      </c>
      <c r="B28">
        <v>289</v>
      </c>
      <c r="C28">
        <v>92071004</v>
      </c>
      <c r="D28" t="s">
        <v>220</v>
      </c>
      <c r="E28" t="s">
        <v>241</v>
      </c>
      <c r="F28" t="s">
        <v>269</v>
      </c>
      <c r="G28" t="s">
        <v>270</v>
      </c>
      <c r="H28" t="s">
        <v>173</v>
      </c>
      <c r="I28" t="s">
        <v>174</v>
      </c>
      <c r="J28" t="s">
        <v>259</v>
      </c>
      <c r="K28" t="s">
        <v>147</v>
      </c>
      <c r="L28" t="s">
        <v>147</v>
      </c>
      <c r="M28" t="s">
        <v>148</v>
      </c>
      <c r="N28" t="s">
        <v>228</v>
      </c>
      <c r="O28" t="s">
        <v>229</v>
      </c>
      <c r="P28">
        <v>3116568942</v>
      </c>
      <c r="Q28">
        <v>52300</v>
      </c>
      <c r="R28" t="s">
        <v>151</v>
      </c>
      <c r="S28" t="s">
        <v>147</v>
      </c>
      <c r="T28" t="s">
        <v>147</v>
      </c>
    </row>
    <row r="29">
      <c r="A29" t="str">
        <f>_xlfn.CONCAT(TBL_Sedes[[#This Row],[Ciudad]]," ",TBL_Sedes[[#This Row],[Nombre de la sede]])</f>
        <v xml:space="preserve">Barranquilla Nodo Salud</v>
      </c>
      <c r="B29">
        <v>271</v>
      </c>
      <c r="C29">
        <v>93021003</v>
      </c>
      <c r="D29" t="s">
        <v>220</v>
      </c>
      <c r="E29" t="s">
        <v>241</v>
      </c>
      <c r="F29" t="s">
        <v>271</v>
      </c>
      <c r="G29" t="s">
        <v>272</v>
      </c>
      <c r="H29" t="s">
        <v>173</v>
      </c>
      <c r="I29" t="s">
        <v>145</v>
      </c>
      <c r="J29" t="s">
        <v>259</v>
      </c>
      <c r="K29" t="s">
        <v>147</v>
      </c>
      <c r="L29" t="s">
        <v>147</v>
      </c>
      <c r="M29" t="s">
        <v>148</v>
      </c>
      <c r="N29" t="s">
        <v>244</v>
      </c>
      <c r="O29" t="s">
        <v>245</v>
      </c>
      <c r="P29">
        <v>3024012301</v>
      </c>
      <c r="Q29">
        <v>52734</v>
      </c>
      <c r="R29" t="s">
        <v>262</v>
      </c>
      <c r="S29" t="s">
        <v>147</v>
      </c>
      <c r="T29" t="s">
        <v>147</v>
      </c>
    </row>
    <row r="30">
      <c r="A30" t="str">
        <f>_xlfn.CONCAT(TBL_Sedes[[#This Row],[Ciudad]]," ",TBL_Sedes[[#This Row],[Nombre de la sede]])</f>
        <v xml:space="preserve">Barranquilla Nodo Servicios Administrativos</v>
      </c>
      <c r="B30">
        <v>297</v>
      </c>
      <c r="C30">
        <v>93021004</v>
      </c>
      <c r="D30" t="s">
        <v>220</v>
      </c>
      <c r="E30" t="s">
        <v>241</v>
      </c>
      <c r="F30" t="s">
        <v>273</v>
      </c>
      <c r="G30" t="s">
        <v>274</v>
      </c>
      <c r="H30" t="s">
        <v>224</v>
      </c>
      <c r="I30" t="s">
        <v>174</v>
      </c>
      <c r="J30" t="s">
        <v>179</v>
      </c>
      <c r="K30" t="s">
        <v>147</v>
      </c>
      <c r="L30" t="s">
        <v>147</v>
      </c>
      <c r="M30" t="s">
        <v>148</v>
      </c>
      <c r="N30" t="s">
        <v>244</v>
      </c>
      <c r="O30" t="s">
        <v>245</v>
      </c>
      <c r="P30">
        <v>3024012301</v>
      </c>
      <c r="Q30">
        <v>52734</v>
      </c>
      <c r="S30" t="s">
        <v>275</v>
      </c>
      <c r="T30" t="s">
        <v>170</v>
      </c>
    </row>
    <row r="31">
      <c r="A31" t="str">
        <f>_xlfn.CONCAT(TBL_Sedes[[#This Row],[Ciudad]]," ",TBL_Sedes[[#This Row],[Nombre de la sede]])</f>
        <v xml:space="preserve">Barranquilla Nodo Servicios Financieros</v>
      </c>
      <c r="B31">
        <v>298</v>
      </c>
      <c r="C31">
        <v>93021005</v>
      </c>
      <c r="D31" t="s">
        <v>220</v>
      </c>
      <c r="E31" t="s">
        <v>241</v>
      </c>
      <c r="F31" t="s">
        <v>276</v>
      </c>
      <c r="G31" t="s">
        <v>277</v>
      </c>
      <c r="H31" t="s">
        <v>173</v>
      </c>
      <c r="I31" t="s">
        <v>174</v>
      </c>
      <c r="J31" t="s">
        <v>278</v>
      </c>
      <c r="K31" t="s">
        <v>147</v>
      </c>
      <c r="L31" t="s">
        <v>147</v>
      </c>
      <c r="M31" t="s">
        <v>148</v>
      </c>
      <c r="N31" t="s">
        <v>244</v>
      </c>
      <c r="O31" t="s">
        <v>245</v>
      </c>
      <c r="P31">
        <v>3024012301</v>
      </c>
      <c r="Q31">
        <v>52734</v>
      </c>
    </row>
    <row r="32">
      <c r="A32" t="str">
        <f>_xlfn.CONCAT(TBL_Sedes[[#This Row],[Ciudad]]," ",TBL_Sedes[[#This Row],[Nombre de la sede]])</f>
        <v xml:space="preserve">Barranquilla Nodo Tic Barranquilla</v>
      </c>
      <c r="B32">
        <v>303</v>
      </c>
      <c r="C32">
        <v>92071003</v>
      </c>
      <c r="D32" t="s">
        <v>220</v>
      </c>
      <c r="E32" t="s">
        <v>241</v>
      </c>
      <c r="F32" t="s">
        <v>279</v>
      </c>
      <c r="G32" t="s">
        <v>280</v>
      </c>
      <c r="H32" t="s">
        <v>173</v>
      </c>
      <c r="I32" t="s">
        <v>174</v>
      </c>
      <c r="J32" t="s">
        <v>278</v>
      </c>
      <c r="K32" t="s">
        <v>147</v>
      </c>
      <c r="L32" t="s">
        <v>147</v>
      </c>
      <c r="M32" t="s">
        <v>148</v>
      </c>
      <c r="N32" t="s">
        <v>228</v>
      </c>
      <c r="O32" t="s">
        <v>229</v>
      </c>
      <c r="P32">
        <v>3116568942</v>
      </c>
      <c r="Q32">
        <v>52300</v>
      </c>
      <c r="R32" t="s">
        <v>262</v>
      </c>
      <c r="S32" t="s">
        <v>147</v>
      </c>
      <c r="T32" t="s">
        <v>147</v>
      </c>
    </row>
    <row r="33">
      <c r="A33" t="str">
        <f>_xlfn.CONCAT(TBL_Sedes[[#This Row],[Ciudad]]," ",TBL_Sedes[[#This Row],[Nombre de la sede]])</f>
        <v xml:space="preserve">Barranquilla Regional Atlántico</v>
      </c>
      <c r="B33">
        <v>19</v>
      </c>
      <c r="C33">
        <v>10100800</v>
      </c>
      <c r="D33" t="s">
        <v>220</v>
      </c>
      <c r="E33" t="s">
        <v>241</v>
      </c>
      <c r="F33" t="s">
        <v>281</v>
      </c>
      <c r="G33" t="s">
        <v>282</v>
      </c>
      <c r="H33" t="s">
        <v>122</v>
      </c>
      <c r="I33" t="s">
        <v>156</v>
      </c>
      <c r="J33" t="s">
        <v>146</v>
      </c>
      <c r="K33" t="s">
        <v>218</v>
      </c>
      <c r="L33" t="s">
        <v>147</v>
      </c>
      <c r="M33" t="s">
        <v>148</v>
      </c>
      <c r="N33" t="s">
        <v>244</v>
      </c>
      <c r="O33" t="s">
        <v>245</v>
      </c>
      <c r="P33">
        <v>3024012301</v>
      </c>
      <c r="Q33">
        <v>52734</v>
      </c>
      <c r="R33" t="s">
        <v>151</v>
      </c>
      <c r="S33" t="s">
        <v>147</v>
      </c>
      <c r="T33" t="s">
        <v>147</v>
      </c>
    </row>
    <row r="34">
      <c r="A34" t="str">
        <f>_xlfn.CONCAT(TBL_Sedes[[#This Row],[Ciudad]]," ",TBL_Sedes[[#This Row],[Nombre de la sede]])</f>
        <v xml:space="preserve">Barranquilla Sede Energía</v>
      </c>
      <c r="B34">
        <v>251</v>
      </c>
      <c r="C34">
        <v>92071002</v>
      </c>
      <c r="D34" t="s">
        <v>220</v>
      </c>
      <c r="E34" t="s">
        <v>241</v>
      </c>
      <c r="F34" t="s">
        <v>283</v>
      </c>
      <c r="G34" t="s">
        <v>284</v>
      </c>
      <c r="H34" t="s">
        <v>173</v>
      </c>
      <c r="I34" t="s">
        <v>145</v>
      </c>
      <c r="J34" t="s">
        <v>259</v>
      </c>
      <c r="K34" t="s">
        <v>147</v>
      </c>
      <c r="L34" t="s">
        <v>147</v>
      </c>
      <c r="M34" t="s">
        <v>148</v>
      </c>
      <c r="N34" t="s">
        <v>228</v>
      </c>
      <c r="O34" t="s">
        <v>229</v>
      </c>
      <c r="P34">
        <v>3116568942</v>
      </c>
      <c r="Q34">
        <v>52300</v>
      </c>
    </row>
    <row r="35">
      <c r="A35" t="str">
        <f>_xlfn.CONCAT(TBL_Sedes[[#This Row],[Ciudad]]," ",TBL_Sedes[[#This Row],[Nombre de la sede]])</f>
        <v xml:space="preserve">Bogotá Centro De Diseño Y Metrología - Complejo Paloquemao</v>
      </c>
      <c r="B35" t="s">
        <v>285</v>
      </c>
      <c r="C35">
        <v>92161000</v>
      </c>
      <c r="D35" t="s">
        <v>286</v>
      </c>
      <c r="E35" t="s">
        <v>287</v>
      </c>
      <c r="F35" t="s">
        <v>288</v>
      </c>
      <c r="G35" t="s">
        <v>289</v>
      </c>
      <c r="H35" t="s">
        <v>144</v>
      </c>
      <c r="I35" t="s">
        <v>156</v>
      </c>
      <c r="J35" t="s">
        <v>165</v>
      </c>
      <c r="K35" t="s">
        <v>290</v>
      </c>
      <c r="L35" t="s">
        <v>147</v>
      </c>
      <c r="M35" t="s">
        <v>148</v>
      </c>
      <c r="N35" t="s">
        <v>291</v>
      </c>
      <c r="O35" t="s">
        <v>292</v>
      </c>
      <c r="P35" t="s">
        <v>293</v>
      </c>
      <c r="Q35">
        <v>15730</v>
      </c>
    </row>
    <row r="36">
      <c r="A36" t="str">
        <f>_xlfn.CONCAT(TBL_Sedes[[#This Row],[Ciudad]]," ",TBL_Sedes[[#This Row],[Nombre de la sede]])</f>
        <v xml:space="preserve">Bogotá Centro De Electricidad, Electrónica Y Telecomunicaciones - Complejo Sur</v>
      </c>
      <c r="B36">
        <v>24</v>
      </c>
      <c r="C36">
        <v>92101000</v>
      </c>
      <c r="D36" t="s">
        <v>286</v>
      </c>
      <c r="E36" t="s">
        <v>287</v>
      </c>
      <c r="F36" t="s">
        <v>294</v>
      </c>
      <c r="G36" t="s">
        <v>295</v>
      </c>
      <c r="H36" t="s">
        <v>144</v>
      </c>
      <c r="I36" t="s">
        <v>156</v>
      </c>
      <c r="J36" t="s">
        <v>165</v>
      </c>
      <c r="K36" t="s">
        <v>200</v>
      </c>
      <c r="L36" t="s">
        <v>200</v>
      </c>
      <c r="M36" t="s">
        <v>148</v>
      </c>
      <c r="N36" t="s">
        <v>296</v>
      </c>
      <c r="O36" t="s">
        <v>297</v>
      </c>
      <c r="P36">
        <v>3124063029</v>
      </c>
      <c r="Q36">
        <v>15386</v>
      </c>
      <c r="R36" t="s">
        <v>151</v>
      </c>
      <c r="S36" t="s">
        <v>147</v>
      </c>
      <c r="T36" t="s">
        <v>147</v>
      </c>
    </row>
    <row r="37">
      <c r="A37" t="str">
        <f>_xlfn.CONCAT(TBL_Sedes[[#This Row],[Ciudad]]," ",TBL_Sedes[[#This Row],[Nombre de la sede]])</f>
        <v xml:space="preserve">Bogotá Centro De Formación De Talento Humano En Salud</v>
      </c>
      <c r="B37">
        <v>28</v>
      </c>
      <c r="C37">
        <v>94031000</v>
      </c>
      <c r="D37" t="s">
        <v>286</v>
      </c>
      <c r="E37" t="s">
        <v>287</v>
      </c>
      <c r="F37" t="s">
        <v>298</v>
      </c>
      <c r="G37" t="s">
        <v>299</v>
      </c>
      <c r="H37" t="s">
        <v>144</v>
      </c>
      <c r="I37" t="s">
        <v>145</v>
      </c>
      <c r="J37" t="s">
        <v>165</v>
      </c>
      <c r="K37" t="s">
        <v>200</v>
      </c>
      <c r="L37" t="s">
        <v>147</v>
      </c>
      <c r="M37" t="s">
        <v>148</v>
      </c>
      <c r="N37" t="s">
        <v>300</v>
      </c>
      <c r="O37" t="s">
        <v>301</v>
      </c>
      <c r="P37">
        <v>3187632371</v>
      </c>
      <c r="Q37">
        <v>15947</v>
      </c>
      <c r="R37" t="s">
        <v>151</v>
      </c>
      <c r="S37" t="s">
        <v>147</v>
      </c>
      <c r="T37" t="s">
        <v>147</v>
      </c>
    </row>
    <row r="38">
      <c r="A38" t="str">
        <f>_xlfn.CONCAT(TBL_Sedes[[#This Row],[Ciudad]]," ",TBL_Sedes[[#This Row],[Nombre de la sede]])</f>
        <v xml:space="preserve">Bogotá Centro de formación en actividad física y cultura - Onassis</v>
      </c>
      <c r="B38">
        <v>31</v>
      </c>
      <c r="C38">
        <v>95081001</v>
      </c>
      <c r="D38" t="s">
        <v>286</v>
      </c>
      <c r="E38" t="s">
        <v>287</v>
      </c>
      <c r="F38" t="s">
        <v>302</v>
      </c>
      <c r="G38" t="s">
        <v>303</v>
      </c>
      <c r="H38" t="s">
        <v>173</v>
      </c>
      <c r="I38" t="s">
        <v>174</v>
      </c>
      <c r="J38" t="s">
        <v>165</v>
      </c>
      <c r="K38" t="s">
        <v>147</v>
      </c>
      <c r="L38" t="s">
        <v>147</v>
      </c>
      <c r="M38" t="s">
        <v>148</v>
      </c>
      <c r="N38" t="s">
        <v>304</v>
      </c>
      <c r="O38" t="s">
        <v>305</v>
      </c>
      <c r="P38">
        <v>3188928707</v>
      </c>
      <c r="R38" t="s">
        <v>306</v>
      </c>
    </row>
    <row r="39">
      <c r="A39" t="str">
        <f>_xlfn.CONCAT(TBL_Sedes[[#This Row],[Ciudad]]," ",TBL_Sedes[[#This Row],[Nombre de la sede]])</f>
        <v xml:space="preserve">Bogotá Centro De Formación En Actividad Física Y Cultura-Kennedy</v>
      </c>
      <c r="B39">
        <v>37</v>
      </c>
      <c r="C39">
        <v>95081000</v>
      </c>
      <c r="D39" t="s">
        <v>286</v>
      </c>
      <c r="E39" t="s">
        <v>287</v>
      </c>
      <c r="F39" t="s">
        <v>307</v>
      </c>
      <c r="G39" t="s">
        <v>308</v>
      </c>
      <c r="H39" t="s">
        <v>144</v>
      </c>
      <c r="I39" t="s">
        <v>145</v>
      </c>
      <c r="J39" t="s">
        <v>165</v>
      </c>
      <c r="K39" t="s">
        <v>147</v>
      </c>
      <c r="L39" t="s">
        <v>147</v>
      </c>
      <c r="M39" t="s">
        <v>148</v>
      </c>
      <c r="N39" t="s">
        <v>304</v>
      </c>
      <c r="O39" t="s">
        <v>305</v>
      </c>
      <c r="P39">
        <v>3188928707</v>
      </c>
      <c r="R39" t="s">
        <v>151</v>
      </c>
      <c r="S39" t="s">
        <v>147</v>
      </c>
      <c r="T39" t="s">
        <v>147</v>
      </c>
    </row>
    <row r="40">
      <c r="A40" t="str">
        <f>_xlfn.CONCAT(TBL_Sedes[[#This Row],[Ciudad]]," ",TBL_Sedes[[#This Row],[Nombre de la sede]])</f>
        <v xml:space="preserve">Bogotá Centro De Gestión Administrativa</v>
      </c>
      <c r="B40">
        <v>30</v>
      </c>
      <c r="C40">
        <v>94041000</v>
      </c>
      <c r="D40" t="s">
        <v>286</v>
      </c>
      <c r="E40" t="s">
        <v>287</v>
      </c>
      <c r="F40" t="s">
        <v>309</v>
      </c>
      <c r="G40" t="s">
        <v>310</v>
      </c>
      <c r="H40" t="s">
        <v>144</v>
      </c>
      <c r="I40" t="s">
        <v>156</v>
      </c>
      <c r="J40" t="s">
        <v>311</v>
      </c>
      <c r="K40" t="s">
        <v>165</v>
      </c>
      <c r="L40" t="s">
        <v>165</v>
      </c>
      <c r="M40" t="s">
        <v>148</v>
      </c>
      <c r="N40" t="s">
        <v>312</v>
      </c>
      <c r="O40" t="s">
        <v>313</v>
      </c>
      <c r="P40">
        <v>3138028393</v>
      </c>
      <c r="Q40">
        <v>16007</v>
      </c>
      <c r="R40" t="s">
        <v>151</v>
      </c>
      <c r="S40" t="s">
        <v>147</v>
      </c>
      <c r="T40" t="s">
        <v>147</v>
      </c>
    </row>
    <row r="41">
      <c r="A41" t="str">
        <f>_xlfn.CONCAT(TBL_Sedes[[#This Row],[Ciudad]]," ",TBL_Sedes[[#This Row],[Nombre de la sede]])</f>
        <v xml:space="preserve">Bogotá Centro De Gestión De Mercados, Logística Y Tecnologías De La Información</v>
      </c>
      <c r="B41">
        <v>42</v>
      </c>
      <c r="C41">
        <v>93031000</v>
      </c>
      <c r="D41" t="s">
        <v>286</v>
      </c>
      <c r="E41" t="s">
        <v>287</v>
      </c>
      <c r="F41" t="s">
        <v>314</v>
      </c>
      <c r="G41" t="s">
        <v>315</v>
      </c>
      <c r="H41" t="s">
        <v>144</v>
      </c>
      <c r="I41" t="s">
        <v>156</v>
      </c>
      <c r="J41" t="s">
        <v>206</v>
      </c>
      <c r="K41" t="s">
        <v>316</v>
      </c>
      <c r="L41" t="s">
        <v>147</v>
      </c>
      <c r="M41" t="s">
        <v>194</v>
      </c>
      <c r="N41" t="s">
        <v>317</v>
      </c>
      <c r="O41" t="s">
        <v>318</v>
      </c>
      <c r="P41" t="s">
        <v>319</v>
      </c>
      <c r="Q41">
        <v>16979</v>
      </c>
      <c r="R41" t="s">
        <v>151</v>
      </c>
      <c r="S41" t="s">
        <v>147</v>
      </c>
      <c r="T41" t="s">
        <v>147</v>
      </c>
    </row>
    <row r="42">
      <c r="A42" t="str">
        <f>_xlfn.CONCAT(TBL_Sedes[[#This Row],[Ciudad]]," ",TBL_Sedes[[#This Row],[Nombre de la sede]])</f>
        <v xml:space="preserve">Bogotá Centro De Gestión Industrial - Complejo Paloquemao</v>
      </c>
      <c r="B42">
        <v>25</v>
      </c>
      <c r="C42">
        <v>92111000</v>
      </c>
      <c r="D42" t="s">
        <v>286</v>
      </c>
      <c r="E42" t="s">
        <v>287</v>
      </c>
      <c r="F42" t="s">
        <v>320</v>
      </c>
      <c r="G42" t="s">
        <v>289</v>
      </c>
      <c r="H42" t="s">
        <v>144</v>
      </c>
      <c r="I42" t="s">
        <v>156</v>
      </c>
      <c r="J42" t="s">
        <v>165</v>
      </c>
      <c r="K42" t="s">
        <v>290</v>
      </c>
      <c r="L42" t="s">
        <v>147</v>
      </c>
      <c r="M42" t="s">
        <v>148</v>
      </c>
      <c r="N42" t="s">
        <v>321</v>
      </c>
      <c r="O42" t="s">
        <v>322</v>
      </c>
      <c r="Q42">
        <v>15504</v>
      </c>
    </row>
    <row r="43">
      <c r="A43" t="str">
        <f>_xlfn.CONCAT(TBL_Sedes[[#This Row],[Ciudad]]," ",TBL_Sedes[[#This Row],[Nombre de la sede]])</f>
        <v xml:space="preserve">Bogotá Centro De Manufactura En Textil Y Cuero</v>
      </c>
      <c r="B43" t="s">
        <v>323</v>
      </c>
      <c r="C43">
        <v>92121000</v>
      </c>
      <c r="D43" t="s">
        <v>286</v>
      </c>
      <c r="E43" t="s">
        <v>287</v>
      </c>
      <c r="F43" t="s">
        <v>324</v>
      </c>
      <c r="G43" t="s">
        <v>295</v>
      </c>
      <c r="H43" t="s">
        <v>144</v>
      </c>
      <c r="I43" t="s">
        <v>156</v>
      </c>
      <c r="J43" t="s">
        <v>165</v>
      </c>
      <c r="K43" t="s">
        <v>200</v>
      </c>
      <c r="L43" t="s">
        <v>200</v>
      </c>
      <c r="M43" t="s">
        <v>148</v>
      </c>
      <c r="N43" t="s">
        <v>325</v>
      </c>
      <c r="O43" t="s">
        <v>326</v>
      </c>
      <c r="P43" t="s">
        <v>327</v>
      </c>
      <c r="Q43">
        <v>14904</v>
      </c>
    </row>
    <row r="44">
      <c r="A44" t="str">
        <f>_xlfn.CONCAT(TBL_Sedes[[#This Row],[Ciudad]]," ",TBL_Sedes[[#This Row],[Nombre de la sede]])</f>
        <v xml:space="preserve">Bogotá Centro De Materiales Y Ensayos</v>
      </c>
      <c r="B44" t="s">
        <v>328</v>
      </c>
      <c r="C44">
        <v>92151000</v>
      </c>
      <c r="D44" t="s">
        <v>286</v>
      </c>
      <c r="E44" t="s">
        <v>287</v>
      </c>
      <c r="F44" t="s">
        <v>329</v>
      </c>
      <c r="G44" t="s">
        <v>295</v>
      </c>
      <c r="H44" t="s">
        <v>144</v>
      </c>
      <c r="I44" t="s">
        <v>156</v>
      </c>
      <c r="J44" t="s">
        <v>165</v>
      </c>
      <c r="K44" t="s">
        <v>200</v>
      </c>
      <c r="L44" t="s">
        <v>200</v>
      </c>
      <c r="M44" t="s">
        <v>148</v>
      </c>
      <c r="N44" t="s">
        <v>330</v>
      </c>
      <c r="O44" t="s">
        <v>331</v>
      </c>
      <c r="P44">
        <v>3153860258</v>
      </c>
      <c r="Q44">
        <v>15022</v>
      </c>
    </row>
    <row r="45">
      <c r="A45" t="str">
        <f>_xlfn.CONCAT(TBL_Sedes[[#This Row],[Ciudad]]," ",TBL_Sedes[[#This Row],[Nombre de la sede]])</f>
        <v xml:space="preserve">Bogotá Centro De Servicios Financieros</v>
      </c>
      <c r="B45" t="s">
        <v>332</v>
      </c>
      <c r="C45">
        <v>94051000</v>
      </c>
      <c r="D45" t="s">
        <v>286</v>
      </c>
      <c r="E45" t="s">
        <v>287</v>
      </c>
      <c r="F45" t="s">
        <v>333</v>
      </c>
      <c r="G45" t="s">
        <v>334</v>
      </c>
      <c r="H45" t="s">
        <v>144</v>
      </c>
      <c r="I45" t="s">
        <v>156</v>
      </c>
      <c r="J45" t="s">
        <v>335</v>
      </c>
      <c r="K45" t="s">
        <v>200</v>
      </c>
      <c r="L45" t="s">
        <v>200</v>
      </c>
      <c r="M45" t="s">
        <v>194</v>
      </c>
      <c r="N45" t="s">
        <v>336</v>
      </c>
      <c r="O45" t="s">
        <v>337</v>
      </c>
      <c r="P45">
        <v>3505162078</v>
      </c>
      <c r="Q45">
        <v>0</v>
      </c>
      <c r="R45" t="s">
        <v>338</v>
      </c>
    </row>
    <row r="46">
      <c r="A46" t="str">
        <f>_xlfn.CONCAT(TBL_Sedes[[#This Row],[Ciudad]]," ",TBL_Sedes[[#This Row],[Nombre de la sede]])</f>
        <v xml:space="preserve">Bogotá Centro Metalmecánico</v>
      </c>
      <c r="B46" t="s">
        <v>339</v>
      </c>
      <c r="C46">
        <v>92141000</v>
      </c>
      <c r="D46" t="s">
        <v>286</v>
      </c>
      <c r="E46" t="s">
        <v>287</v>
      </c>
      <c r="F46" t="s">
        <v>340</v>
      </c>
      <c r="G46" t="s">
        <v>295</v>
      </c>
      <c r="H46" t="s">
        <v>144</v>
      </c>
      <c r="I46" t="s">
        <v>156</v>
      </c>
      <c r="J46" t="s">
        <v>165</v>
      </c>
      <c r="K46" t="s">
        <v>200</v>
      </c>
      <c r="L46" t="s">
        <v>200</v>
      </c>
      <c r="M46" t="s">
        <v>148</v>
      </c>
      <c r="N46" t="s">
        <v>341</v>
      </c>
      <c r="O46" t="s">
        <v>342</v>
      </c>
      <c r="P46">
        <v>3153271781</v>
      </c>
      <c r="Q46">
        <v>16505</v>
      </c>
      <c r="R46" t="s">
        <v>338</v>
      </c>
    </row>
    <row r="47">
      <c r="A47" t="str">
        <f>_xlfn.CONCAT(TBL_Sedes[[#This Row],[Ciudad]]," ",TBL_Sedes[[#This Row],[Nombre de la sede]])</f>
        <v xml:space="preserve">Bogotá Centro Nacional De Hotelería, Turismo Y Alimentos - Complejo Paloquemao</v>
      </c>
      <c r="B47" t="s">
        <v>343</v>
      </c>
      <c r="C47">
        <v>94061000</v>
      </c>
      <c r="D47" t="s">
        <v>286</v>
      </c>
      <c r="E47" t="s">
        <v>287</v>
      </c>
      <c r="F47" t="s">
        <v>344</v>
      </c>
      <c r="G47" t="s">
        <v>289</v>
      </c>
      <c r="H47" t="s">
        <v>144</v>
      </c>
      <c r="I47" t="s">
        <v>156</v>
      </c>
      <c r="J47" t="s">
        <v>345</v>
      </c>
      <c r="K47" t="s">
        <v>147</v>
      </c>
      <c r="L47" t="s">
        <v>147</v>
      </c>
      <c r="M47" t="s">
        <v>148</v>
      </c>
      <c r="N47" t="s">
        <v>346</v>
      </c>
      <c r="O47" t="s">
        <v>347</v>
      </c>
      <c r="P47">
        <v>3195625283</v>
      </c>
      <c r="Q47">
        <v>15608</v>
      </c>
    </row>
    <row r="48">
      <c r="A48" t="str">
        <f>_xlfn.CONCAT(TBL_Sedes[[#This Row],[Ciudad]]," ",TBL_Sedes[[#This Row],[Nombre de la sede]])</f>
        <v xml:space="preserve">Bogotá Centro Para La Industria De La Comunicación Gráfica - Complejo Paloquemao</v>
      </c>
      <c r="B48" t="s">
        <v>348</v>
      </c>
      <c r="C48">
        <v>92171000</v>
      </c>
      <c r="D48" t="s">
        <v>286</v>
      </c>
      <c r="E48" t="s">
        <v>287</v>
      </c>
      <c r="F48" t="s">
        <v>349</v>
      </c>
      <c r="G48" t="s">
        <v>289</v>
      </c>
      <c r="H48" t="s">
        <v>144</v>
      </c>
      <c r="I48" t="s">
        <v>156</v>
      </c>
      <c r="J48" t="s">
        <v>165</v>
      </c>
      <c r="K48" t="s">
        <v>290</v>
      </c>
      <c r="L48" t="s">
        <v>147</v>
      </c>
      <c r="M48" t="s">
        <v>148</v>
      </c>
      <c r="N48" t="s">
        <v>350</v>
      </c>
      <c r="O48">
        <v>0</v>
      </c>
      <c r="P48">
        <v>0</v>
      </c>
      <c r="Q48">
        <v>16520</v>
      </c>
    </row>
    <row r="49">
      <c r="A49" t="str">
        <f>_xlfn.CONCAT(TBL_Sedes[[#This Row],[Ciudad]]," ",TBL_Sedes[[#This Row],[Nombre de la sede]])</f>
        <v xml:space="preserve">Bogotá Colegio De La Bici</v>
      </c>
      <c r="B49">
        <v>305</v>
      </c>
      <c r="C49">
        <v>92131001</v>
      </c>
      <c r="D49" t="s">
        <v>286</v>
      </c>
      <c r="E49" t="s">
        <v>287</v>
      </c>
      <c r="F49" t="s">
        <v>351</v>
      </c>
      <c r="G49" t="s">
        <v>352</v>
      </c>
      <c r="H49" t="s">
        <v>173</v>
      </c>
      <c r="I49" t="s">
        <v>145</v>
      </c>
      <c r="J49" t="s">
        <v>353</v>
      </c>
      <c r="K49" t="s">
        <v>147</v>
      </c>
      <c r="L49" t="s">
        <v>147</v>
      </c>
      <c r="M49" t="s">
        <v>148</v>
      </c>
      <c r="N49" t="s">
        <v>304</v>
      </c>
      <c r="O49" t="s">
        <v>305</v>
      </c>
      <c r="P49">
        <v>3188928707</v>
      </c>
      <c r="R49" t="s">
        <v>354</v>
      </c>
      <c r="S49" t="s">
        <v>355</v>
      </c>
      <c r="T49" t="s">
        <v>356</v>
      </c>
    </row>
    <row r="50">
      <c r="A50" t="str">
        <f>_xlfn.CONCAT(TBL_Sedes[[#This Row],[Ciudad]]," ",TBL_Sedes[[#This Row],[Nombre de la sede]])</f>
        <v xml:space="preserve">Bogotá Escuela De Instructores</v>
      </c>
      <c r="B50">
        <v>36</v>
      </c>
      <c r="C50">
        <v>10100102</v>
      </c>
      <c r="D50" t="s">
        <v>357</v>
      </c>
      <c r="E50" t="s">
        <v>287</v>
      </c>
      <c r="F50" t="s">
        <v>358</v>
      </c>
      <c r="G50" t="s">
        <v>359</v>
      </c>
      <c r="H50" t="s">
        <v>173</v>
      </c>
      <c r="I50" t="s">
        <v>174</v>
      </c>
      <c r="J50" t="s">
        <v>259</v>
      </c>
      <c r="K50" t="s">
        <v>147</v>
      </c>
      <c r="L50" t="s">
        <v>147</v>
      </c>
      <c r="M50" t="s">
        <v>360</v>
      </c>
      <c r="N50" t="s">
        <v>361</v>
      </c>
      <c r="O50" t="s">
        <v>362</v>
      </c>
      <c r="P50" t="s">
        <v>363</v>
      </c>
      <c r="Q50">
        <v>12139</v>
      </c>
    </row>
    <row r="51">
      <c r="A51" t="str">
        <f>_xlfn.CONCAT(TBL_Sedes[[#This Row],[Ciudad]]," ",TBL_Sedes[[#This Row],[Nombre de la sede]])</f>
        <v xml:space="preserve">Bogotá Instituto Colombiano de Aprendizaje INCAP- Sede Centro</v>
      </c>
      <c r="B51">
        <v>366</v>
      </c>
      <c r="C51">
        <v>94031003</v>
      </c>
      <c r="D51" t="s">
        <v>286</v>
      </c>
      <c r="E51" t="s">
        <v>287</v>
      </c>
      <c r="F51" t="s">
        <v>364</v>
      </c>
      <c r="G51" t="s">
        <v>365</v>
      </c>
      <c r="H51" t="s">
        <v>366</v>
      </c>
      <c r="I51" t="s">
        <v>174</v>
      </c>
      <c r="J51" t="s">
        <v>353</v>
      </c>
      <c r="K51" t="s">
        <v>367</v>
      </c>
      <c r="L51" t="s">
        <v>147</v>
      </c>
      <c r="M51" t="s">
        <v>148</v>
      </c>
      <c r="N51" t="s">
        <v>300</v>
      </c>
      <c r="O51" t="s">
        <v>301</v>
      </c>
      <c r="Q51">
        <v>15947</v>
      </c>
      <c r="R51" t="s">
        <v>168</v>
      </c>
      <c r="S51" t="s">
        <v>368</v>
      </c>
      <c r="T51" t="s">
        <v>369</v>
      </c>
    </row>
    <row r="52">
      <c r="A52" t="str">
        <f>_xlfn.CONCAT(TBL_Sedes[[#This Row],[Ciudad]]," ",TBL_Sedes[[#This Row],[Nombre de la sede]])</f>
        <v xml:space="preserve">Bogotá Regional Cundinamarca</v>
      </c>
      <c r="B52">
        <v>78</v>
      </c>
      <c r="C52">
        <v>10102500</v>
      </c>
      <c r="D52" t="s">
        <v>370</v>
      </c>
      <c r="E52" t="s">
        <v>287</v>
      </c>
      <c r="F52" t="s">
        <v>371</v>
      </c>
      <c r="G52" t="s">
        <v>372</v>
      </c>
      <c r="H52" t="s">
        <v>122</v>
      </c>
      <c r="I52" t="s">
        <v>156</v>
      </c>
      <c r="J52" t="s">
        <v>146</v>
      </c>
      <c r="K52" t="s">
        <v>147</v>
      </c>
      <c r="L52" t="s">
        <v>147</v>
      </c>
      <c r="M52" t="s">
        <v>148</v>
      </c>
      <c r="N52" t="s">
        <v>373</v>
      </c>
      <c r="O52" t="s">
        <v>374</v>
      </c>
      <c r="P52">
        <v>3174683637</v>
      </c>
      <c r="Q52">
        <v>17210</v>
      </c>
      <c r="R52" t="s">
        <v>151</v>
      </c>
      <c r="S52" t="s">
        <v>147</v>
      </c>
      <c r="T52" t="s">
        <v>147</v>
      </c>
    </row>
    <row r="53">
      <c r="A53" t="str">
        <f>_xlfn.CONCAT(TBL_Sedes[[#This Row],[Ciudad]]," ",TBL_Sedes[[#This Row],[Nombre de la sede]])</f>
        <v xml:space="preserve">Bogotá Regional Distrito Capital</v>
      </c>
      <c r="B53">
        <v>22</v>
      </c>
      <c r="C53">
        <v>10101100</v>
      </c>
      <c r="D53" t="s">
        <v>286</v>
      </c>
      <c r="E53" t="s">
        <v>287</v>
      </c>
      <c r="F53" t="s">
        <v>375</v>
      </c>
      <c r="G53" t="s">
        <v>334</v>
      </c>
      <c r="H53" t="s">
        <v>122</v>
      </c>
      <c r="I53" t="s">
        <v>156</v>
      </c>
      <c r="J53" t="s">
        <v>199</v>
      </c>
      <c r="K53" t="s">
        <v>193</v>
      </c>
      <c r="L53" t="s">
        <v>147</v>
      </c>
      <c r="M53" t="s">
        <v>148</v>
      </c>
      <c r="N53" t="s">
        <v>376</v>
      </c>
      <c r="O53" t="s">
        <v>377</v>
      </c>
      <c r="P53">
        <v>3133827002</v>
      </c>
      <c r="Q53">
        <v>14733</v>
      </c>
    </row>
    <row r="54">
      <c r="A54" t="str">
        <f>_xlfn.CONCAT(TBL_Sedes[[#This Row],[Ciudad]]," ",TBL_Sedes[[#This Row],[Nombre de la sede]])</f>
        <v xml:space="preserve">Bogotá Sede - Fontibón</v>
      </c>
      <c r="B54">
        <v>32</v>
      </c>
      <c r="C54">
        <v>93031001</v>
      </c>
      <c r="D54" t="s">
        <v>286</v>
      </c>
      <c r="E54" t="s">
        <v>287</v>
      </c>
      <c r="F54" t="s">
        <v>378</v>
      </c>
      <c r="G54" t="s">
        <v>379</v>
      </c>
      <c r="H54" t="s">
        <v>173</v>
      </c>
      <c r="I54" t="s">
        <v>156</v>
      </c>
      <c r="J54" t="s">
        <v>206</v>
      </c>
      <c r="K54" t="s">
        <v>316</v>
      </c>
      <c r="L54" t="s">
        <v>147</v>
      </c>
      <c r="M54" t="s">
        <v>148</v>
      </c>
      <c r="N54" t="s">
        <v>317</v>
      </c>
      <c r="O54" t="s">
        <v>318</v>
      </c>
      <c r="P54" t="s">
        <v>319</v>
      </c>
      <c r="Q54">
        <v>16979</v>
      </c>
      <c r="R54" t="s">
        <v>380</v>
      </c>
      <c r="S54" t="s">
        <v>147</v>
      </c>
      <c r="T54" t="s">
        <v>147</v>
      </c>
    </row>
    <row r="55">
      <c r="A55" t="str">
        <f>_xlfn.CONCAT(TBL_Sedes[[#This Row],[Ciudad]]," ",TBL_Sedes[[#This Row],[Nombre de la sede]])</f>
        <v xml:space="preserve">Bogotá Sede - Meissen</v>
      </c>
      <c r="B55">
        <v>34</v>
      </c>
      <c r="C55">
        <v>92121002</v>
      </c>
      <c r="D55" t="s">
        <v>286</v>
      </c>
      <c r="E55" t="s">
        <v>287</v>
      </c>
      <c r="F55" t="s">
        <v>381</v>
      </c>
      <c r="G55" t="s">
        <v>382</v>
      </c>
      <c r="H55" t="s">
        <v>173</v>
      </c>
      <c r="I55" t="s">
        <v>174</v>
      </c>
      <c r="J55" t="s">
        <v>146</v>
      </c>
      <c r="K55" t="s">
        <v>147</v>
      </c>
      <c r="L55" t="s">
        <v>147</v>
      </c>
      <c r="M55" t="s">
        <v>148</v>
      </c>
      <c r="N55" t="s">
        <v>325</v>
      </c>
      <c r="O55" t="s">
        <v>326</v>
      </c>
      <c r="P55" t="s">
        <v>327</v>
      </c>
      <c r="Q55">
        <v>14904</v>
      </c>
    </row>
    <row r="56">
      <c r="A56" t="str">
        <f>_xlfn.CONCAT(TBL_Sedes[[#This Row],[Ciudad]]," ",TBL_Sedes[[#This Row],[Nombre de la sede]])</f>
        <v xml:space="preserve">Bogotá Sede - Usme</v>
      </c>
      <c r="B56">
        <v>33</v>
      </c>
      <c r="C56">
        <v>92121001</v>
      </c>
      <c r="D56" t="s">
        <v>286</v>
      </c>
      <c r="E56" t="s">
        <v>287</v>
      </c>
      <c r="F56" t="s">
        <v>383</v>
      </c>
      <c r="G56" t="s">
        <v>384</v>
      </c>
      <c r="H56" t="s">
        <v>173</v>
      </c>
      <c r="I56" t="s">
        <v>174</v>
      </c>
      <c r="J56" t="s">
        <v>146</v>
      </c>
      <c r="K56" t="s">
        <v>147</v>
      </c>
      <c r="L56" t="s">
        <v>147</v>
      </c>
      <c r="M56" t="s">
        <v>148</v>
      </c>
      <c r="N56" t="s">
        <v>325</v>
      </c>
      <c r="O56" t="s">
        <v>326</v>
      </c>
      <c r="P56" t="s">
        <v>327</v>
      </c>
      <c r="Q56">
        <v>14904</v>
      </c>
    </row>
    <row r="57">
      <c r="A57" t="str">
        <f>_xlfn.CONCAT(TBL_Sedes[[#This Row],[Ciudad]]," ",TBL_Sedes[[#This Row],[Nombre de la sede]])</f>
        <v xml:space="preserve">Bogotá Sede Álamos - Plantas Agroindustriales</v>
      </c>
      <c r="B57">
        <v>27</v>
      </c>
      <c r="C57">
        <v>94061001</v>
      </c>
      <c r="D57" t="s">
        <v>286</v>
      </c>
      <c r="E57" t="s">
        <v>287</v>
      </c>
      <c r="F57" t="s">
        <v>385</v>
      </c>
      <c r="G57" t="s">
        <v>386</v>
      </c>
      <c r="H57" t="s">
        <v>173</v>
      </c>
      <c r="I57" t="s">
        <v>174</v>
      </c>
      <c r="J57" t="s">
        <v>259</v>
      </c>
      <c r="K57" t="s">
        <v>147</v>
      </c>
      <c r="L57" t="s">
        <v>147</v>
      </c>
      <c r="M57" t="s">
        <v>148</v>
      </c>
      <c r="N57" t="s">
        <v>376</v>
      </c>
      <c r="O57" t="s">
        <v>377</v>
      </c>
      <c r="P57">
        <v>3133827002</v>
      </c>
      <c r="Q57">
        <v>14733</v>
      </c>
      <c r="R57" t="s">
        <v>151</v>
      </c>
      <c r="S57" t="s">
        <v>147</v>
      </c>
      <c r="T57" t="s">
        <v>147</v>
      </c>
    </row>
    <row r="58">
      <c r="A58" t="str">
        <f>_xlfn.CONCAT(TBL_Sedes[[#This Row],[Ciudad]]," ",TBL_Sedes[[#This Row],[Nombre de la sede]])</f>
        <v xml:space="preserve">Bogotá Sede Colon - Sintrasena</v>
      </c>
      <c r="B58">
        <v>294</v>
      </c>
      <c r="C58">
        <v>10100103</v>
      </c>
      <c r="D58" t="s">
        <v>357</v>
      </c>
      <c r="E58" t="s">
        <v>287</v>
      </c>
      <c r="F58" t="s">
        <v>387</v>
      </c>
      <c r="G58" t="s">
        <v>388</v>
      </c>
      <c r="H58" t="s">
        <v>173</v>
      </c>
      <c r="I58" t="s">
        <v>174</v>
      </c>
      <c r="J58" t="s">
        <v>259</v>
      </c>
      <c r="K58" t="s">
        <v>147</v>
      </c>
      <c r="L58" t="s">
        <v>147</v>
      </c>
      <c r="M58" t="s">
        <v>148</v>
      </c>
      <c r="N58" t="s">
        <v>361</v>
      </c>
      <c r="O58" t="s">
        <v>362</v>
      </c>
      <c r="P58" t="s">
        <v>389</v>
      </c>
      <c r="Q58">
        <v>12139</v>
      </c>
    </row>
    <row r="59">
      <c r="A59" t="str">
        <f>_xlfn.CONCAT(TBL_Sedes[[#This Row],[Ciudad]]," ",TBL_Sedes[[#This Row],[Nombre de la sede]])</f>
        <v xml:space="preserve">Bogotá Sede Prial</v>
      </c>
      <c r="B59">
        <v>26</v>
      </c>
      <c r="C59">
        <v>92111001</v>
      </c>
      <c r="D59" t="s">
        <v>286</v>
      </c>
      <c r="E59" t="s">
        <v>287</v>
      </c>
      <c r="F59" t="s">
        <v>390</v>
      </c>
      <c r="G59" t="s">
        <v>391</v>
      </c>
      <c r="H59" t="s">
        <v>173</v>
      </c>
      <c r="I59" t="s">
        <v>174</v>
      </c>
      <c r="J59" t="s">
        <v>146</v>
      </c>
      <c r="K59" t="s">
        <v>392</v>
      </c>
      <c r="L59" t="s">
        <v>147</v>
      </c>
      <c r="M59" t="s">
        <v>148</v>
      </c>
      <c r="N59" t="s">
        <v>321</v>
      </c>
      <c r="O59" t="s">
        <v>322</v>
      </c>
      <c r="Q59">
        <v>15504</v>
      </c>
      <c r="R59" t="s">
        <v>151</v>
      </c>
      <c r="S59" t="s">
        <v>147</v>
      </c>
      <c r="T59" t="s">
        <v>147</v>
      </c>
    </row>
    <row r="60">
      <c r="A60" t="str">
        <f>_xlfn.CONCAT(TBL_Sedes[[#This Row],[Ciudad]]," ",TBL_Sedes[[#This Row],[Nombre de la sede]])</f>
        <v xml:space="preserve">Bogotá Sede San Antonio</v>
      </c>
      <c r="B60">
        <v>23</v>
      </c>
      <c r="C60">
        <v>94031001</v>
      </c>
      <c r="D60" t="s">
        <v>286</v>
      </c>
      <c r="E60" t="s">
        <v>287</v>
      </c>
      <c r="F60" t="s">
        <v>393</v>
      </c>
      <c r="G60" t="s">
        <v>394</v>
      </c>
      <c r="H60" t="s">
        <v>173</v>
      </c>
      <c r="I60" t="s">
        <v>145</v>
      </c>
      <c r="J60" t="s">
        <v>200</v>
      </c>
      <c r="K60" t="s">
        <v>200</v>
      </c>
      <c r="L60" t="s">
        <v>147</v>
      </c>
      <c r="M60" t="s">
        <v>148</v>
      </c>
      <c r="N60" t="s">
        <v>300</v>
      </c>
      <c r="O60" t="s">
        <v>301</v>
      </c>
      <c r="P60">
        <v>3187632371</v>
      </c>
      <c r="Q60">
        <v>15947</v>
      </c>
    </row>
    <row r="61">
      <c r="A61" t="str">
        <f>_xlfn.CONCAT(TBL_Sedes[[#This Row],[Ciudad]]," ",TBL_Sedes[[#This Row],[Nombre de la sede]])</f>
        <v xml:space="preserve">Bogotá Servicio Médico Asistencial</v>
      </c>
      <c r="B61">
        <v>38</v>
      </c>
      <c r="C61">
        <v>10101101</v>
      </c>
      <c r="D61" t="s">
        <v>286</v>
      </c>
      <c r="E61" t="s">
        <v>287</v>
      </c>
      <c r="F61" t="s">
        <v>395</v>
      </c>
      <c r="G61" t="s">
        <v>396</v>
      </c>
      <c r="H61" t="s">
        <v>173</v>
      </c>
      <c r="I61" t="s">
        <v>174</v>
      </c>
      <c r="J61" t="s">
        <v>259</v>
      </c>
      <c r="K61" t="s">
        <v>147</v>
      </c>
      <c r="L61" t="s">
        <v>147</v>
      </c>
      <c r="M61" t="s">
        <v>148</v>
      </c>
      <c r="N61" t="s">
        <v>376</v>
      </c>
      <c r="O61" t="s">
        <v>377</v>
      </c>
      <c r="P61">
        <v>3133827002</v>
      </c>
      <c r="Q61">
        <v>14733</v>
      </c>
      <c r="R61" t="s">
        <v>151</v>
      </c>
      <c r="S61" t="s">
        <v>147</v>
      </c>
      <c r="T61" t="s">
        <v>147</v>
      </c>
    </row>
    <row r="62">
      <c r="A62" t="str">
        <f>_xlfn.CONCAT(TBL_Sedes[[#This Row],[Ciudad]]," ",TBL_Sedes[[#This Row],[Nombre de la sede]])</f>
        <v xml:space="preserve">Bogotá Sindesena</v>
      </c>
      <c r="B62">
        <v>29</v>
      </c>
      <c r="C62">
        <v>10100101</v>
      </c>
      <c r="D62" t="s">
        <v>397</v>
      </c>
      <c r="E62" t="s">
        <v>287</v>
      </c>
      <c r="F62" t="s">
        <v>398</v>
      </c>
      <c r="G62" t="s">
        <v>399</v>
      </c>
      <c r="H62" t="s">
        <v>173</v>
      </c>
      <c r="I62" t="s">
        <v>174</v>
      </c>
      <c r="J62" t="s">
        <v>259</v>
      </c>
      <c r="K62" t="s">
        <v>147</v>
      </c>
      <c r="L62" t="s">
        <v>147</v>
      </c>
      <c r="M62" t="s">
        <v>148</v>
      </c>
      <c r="N62" t="s">
        <v>361</v>
      </c>
      <c r="O62" t="s">
        <v>362</v>
      </c>
      <c r="P62" t="s">
        <v>389</v>
      </c>
      <c r="Q62">
        <v>12139</v>
      </c>
    </row>
    <row r="63">
      <c r="A63" t="str">
        <f>_xlfn.CONCAT(TBL_Sedes[[#This Row],[Ciudad]]," ",TBL_Sedes[[#This Row],[Nombre de la sede]])</f>
        <v xml:space="preserve">Bogotá Subsede Centro de Servicios Financieros</v>
      </c>
      <c r="B63">
        <v>362</v>
      </c>
      <c r="C63">
        <v>94051001</v>
      </c>
      <c r="D63" t="s">
        <v>286</v>
      </c>
      <c r="E63" t="s">
        <v>287</v>
      </c>
      <c r="F63" t="s">
        <v>400</v>
      </c>
      <c r="G63" t="s">
        <v>401</v>
      </c>
      <c r="H63" t="s">
        <v>366</v>
      </c>
      <c r="I63" t="s">
        <v>174</v>
      </c>
      <c r="J63" t="s">
        <v>402</v>
      </c>
      <c r="K63" t="s">
        <v>403</v>
      </c>
      <c r="L63" t="s">
        <v>147</v>
      </c>
      <c r="M63" t="s">
        <v>148</v>
      </c>
      <c r="N63" t="s">
        <v>404</v>
      </c>
      <c r="O63" t="s">
        <v>405</v>
      </c>
      <c r="P63">
        <v>3123271941</v>
      </c>
      <c r="Q63">
        <v>14510</v>
      </c>
      <c r="R63" t="s">
        <v>168</v>
      </c>
      <c r="S63" t="s">
        <v>406</v>
      </c>
      <c r="T63" t="s">
        <v>407</v>
      </c>
    </row>
    <row r="64">
      <c r="A64" t="str">
        <f>_xlfn.CONCAT(TBL_Sedes[[#This Row],[Ciudad]]," ",TBL_Sedes[[#This Row],[Nombre de la sede]])</f>
        <v xml:space="preserve">Bogotá Subsede Centro de  formación en actividad física y cultura - UNIGERMANA</v>
      </c>
      <c r="B64">
        <v>363</v>
      </c>
      <c r="C64">
        <v>95081002</v>
      </c>
      <c r="D64" t="s">
        <v>286</v>
      </c>
      <c r="E64" t="s">
        <v>287</v>
      </c>
      <c r="F64" t="s">
        <v>408</v>
      </c>
      <c r="G64" t="s">
        <v>409</v>
      </c>
      <c r="H64" t="s">
        <v>366</v>
      </c>
      <c r="I64" t="s">
        <v>174</v>
      </c>
      <c r="J64" t="s">
        <v>402</v>
      </c>
      <c r="K64" t="s">
        <v>147</v>
      </c>
      <c r="L64" t="s">
        <v>147</v>
      </c>
      <c r="M64" t="s">
        <v>148</v>
      </c>
      <c r="N64" t="s">
        <v>304</v>
      </c>
      <c r="O64" t="s">
        <v>410</v>
      </c>
      <c r="P64">
        <v>3188928707</v>
      </c>
      <c r="R64" t="s">
        <v>168</v>
      </c>
      <c r="S64" t="s">
        <v>411</v>
      </c>
      <c r="T64" t="s">
        <v>412</v>
      </c>
    </row>
    <row r="65">
      <c r="A65" t="str">
        <f>_xlfn.CONCAT(TBL_Sedes[[#This Row],[Ciudad]]," ",TBL_Sedes[[#This Row],[Nombre de la sede]])</f>
        <v xml:space="preserve">Bogotá Subsede INESCO</v>
      </c>
      <c r="B65">
        <v>317</v>
      </c>
      <c r="C65">
        <v>94041001</v>
      </c>
      <c r="D65" t="s">
        <v>286</v>
      </c>
      <c r="E65" t="s">
        <v>287</v>
      </c>
      <c r="F65" t="s">
        <v>413</v>
      </c>
      <c r="G65" t="s">
        <v>414</v>
      </c>
      <c r="H65" t="s">
        <v>366</v>
      </c>
      <c r="I65" t="s">
        <v>174</v>
      </c>
      <c r="J65" t="s">
        <v>415</v>
      </c>
      <c r="K65" t="s">
        <v>147</v>
      </c>
      <c r="L65" t="s">
        <v>147</v>
      </c>
      <c r="M65" t="s">
        <v>148</v>
      </c>
      <c r="N65" t="s">
        <v>416</v>
      </c>
      <c r="O65" t="s">
        <v>417</v>
      </c>
      <c r="P65" t="s">
        <v>418</v>
      </c>
      <c r="Q65">
        <v>16007</v>
      </c>
      <c r="S65" t="s">
        <v>419</v>
      </c>
      <c r="T65" t="s">
        <v>420</v>
      </c>
    </row>
    <row r="66">
      <c r="A66" t="str">
        <f>_xlfn.CONCAT(TBL_Sedes[[#This Row],[Ciudad]]," ",TBL_Sedes[[#This Row],[Nombre de la sede]])</f>
        <v xml:space="preserve">Bogotá Tecnoparque Colombia Nodo Bogotá</v>
      </c>
      <c r="B66">
        <v>41</v>
      </c>
      <c r="C66">
        <v>92141001</v>
      </c>
      <c r="D66" t="s">
        <v>286</v>
      </c>
      <c r="E66" t="s">
        <v>287</v>
      </c>
      <c r="F66" t="s">
        <v>421</v>
      </c>
      <c r="G66" t="s">
        <v>422</v>
      </c>
      <c r="H66" t="s">
        <v>173</v>
      </c>
      <c r="I66" t="s">
        <v>156</v>
      </c>
      <c r="J66" t="s">
        <v>200</v>
      </c>
      <c r="K66" t="s">
        <v>147</v>
      </c>
      <c r="L66" t="s">
        <v>147</v>
      </c>
      <c r="M66" t="s">
        <v>148</v>
      </c>
      <c r="N66" t="s">
        <v>423</v>
      </c>
      <c r="O66" t="s">
        <v>424</v>
      </c>
      <c r="P66">
        <v>3223877875</v>
      </c>
      <c r="Q66">
        <v>16831</v>
      </c>
      <c r="R66" t="s">
        <v>151</v>
      </c>
      <c r="S66" t="s">
        <v>147</v>
      </c>
      <c r="T66" t="s">
        <v>147</v>
      </c>
    </row>
    <row r="67">
      <c r="A67" t="str">
        <f>_xlfn.CONCAT(TBL_Sedes[[#This Row],[Ciudad]]," ",TBL_Sedes[[#This Row],[Nombre de la sede]])</f>
        <v xml:space="preserve">Bogotá Unihorizonte- Fundación Universitaria Horizonte</v>
      </c>
      <c r="B67">
        <v>343</v>
      </c>
      <c r="C67">
        <v>94031002</v>
      </c>
      <c r="D67" t="s">
        <v>286</v>
      </c>
      <c r="E67" t="s">
        <v>287</v>
      </c>
      <c r="F67" t="s">
        <v>425</v>
      </c>
      <c r="G67" t="s">
        <v>426</v>
      </c>
      <c r="H67" t="s">
        <v>366</v>
      </c>
      <c r="I67" t="s">
        <v>174</v>
      </c>
      <c r="J67" t="s">
        <v>403</v>
      </c>
      <c r="K67" t="s">
        <v>147</v>
      </c>
      <c r="L67" t="s">
        <v>147</v>
      </c>
      <c r="M67" t="s">
        <v>360</v>
      </c>
      <c r="N67" t="s">
        <v>300</v>
      </c>
      <c r="O67" t="s">
        <v>301</v>
      </c>
      <c r="P67">
        <v>3187632371</v>
      </c>
      <c r="Q67">
        <v>15947</v>
      </c>
      <c r="S67" t="s">
        <v>427</v>
      </c>
      <c r="T67" t="s">
        <v>428</v>
      </c>
    </row>
    <row r="68">
      <c r="A68" t="str">
        <f>_xlfn.CONCAT(TBL_Sedes[[#This Row],[Ciudad]]," ",TBL_Sedes[[#This Row],[Nombre de la sede]])</f>
        <v xml:space="preserve">Bosconia Sede Bosconia</v>
      </c>
      <c r="B68">
        <v>284</v>
      </c>
      <c r="C68">
        <v>95211004</v>
      </c>
      <c r="D68" t="s">
        <v>140</v>
      </c>
      <c r="E68" t="s">
        <v>429</v>
      </c>
      <c r="F68" t="s">
        <v>430</v>
      </c>
      <c r="G68" t="s">
        <v>431</v>
      </c>
      <c r="H68" t="s">
        <v>173</v>
      </c>
      <c r="I68" t="s">
        <v>174</v>
      </c>
      <c r="J68" t="s">
        <v>259</v>
      </c>
      <c r="K68" t="s">
        <v>147</v>
      </c>
      <c r="L68" t="s">
        <v>147</v>
      </c>
      <c r="M68" t="s">
        <v>148</v>
      </c>
      <c r="N68" t="s">
        <v>432</v>
      </c>
      <c r="O68" t="s">
        <v>433</v>
      </c>
      <c r="P68">
        <v>3157412119</v>
      </c>
      <c r="Q68">
        <v>52914</v>
      </c>
      <c r="R68" t="s">
        <v>151</v>
      </c>
      <c r="S68" t="s">
        <v>147</v>
      </c>
      <c r="T68" t="s">
        <v>147</v>
      </c>
    </row>
    <row r="69">
      <c r="A69" t="str">
        <f>_xlfn.CONCAT(TBL_Sedes[[#This Row],[Ciudad]]," ",TBL_Sedes[[#This Row],[Nombre de la sede]])</f>
        <v xml:space="preserve">Bucaramanga Agencia Pública De Empleo</v>
      </c>
      <c r="B69">
        <v>333</v>
      </c>
      <c r="C69">
        <v>10106852</v>
      </c>
      <c r="D69" t="s">
        <v>230</v>
      </c>
      <c r="E69" t="s">
        <v>434</v>
      </c>
      <c r="F69" t="s">
        <v>435</v>
      </c>
      <c r="G69" t="s">
        <v>436</v>
      </c>
      <c r="H69" t="s">
        <v>217</v>
      </c>
      <c r="I69" t="s">
        <v>174</v>
      </c>
      <c r="J69" t="s">
        <v>437</v>
      </c>
      <c r="K69" t="s">
        <v>147</v>
      </c>
      <c r="L69" t="s">
        <v>147</v>
      </c>
      <c r="M69" t="s">
        <v>148</v>
      </c>
      <c r="N69" t="s">
        <v>438</v>
      </c>
      <c r="O69" t="s">
        <v>439</v>
      </c>
      <c r="P69">
        <v>3013751976</v>
      </c>
      <c r="Q69" t="s">
        <v>440</v>
      </c>
    </row>
    <row r="70">
      <c r="A70" t="str">
        <f>_xlfn.CONCAT(TBL_Sedes[[#This Row],[Ciudad]]," ",TBL_Sedes[[#This Row],[Nombre de la sede]])</f>
        <v xml:space="preserve">Bucaramanga Centro De Servicios Empresariales Y Turísticos</v>
      </c>
      <c r="B70">
        <v>252</v>
      </c>
      <c r="D70" t="s">
        <v>230</v>
      </c>
      <c r="E70" t="s">
        <v>434</v>
      </c>
      <c r="F70" t="s">
        <v>441</v>
      </c>
      <c r="G70" t="s">
        <v>442</v>
      </c>
      <c r="H70" t="s">
        <v>173</v>
      </c>
      <c r="I70" t="s">
        <v>174</v>
      </c>
      <c r="J70" t="s">
        <v>147</v>
      </c>
      <c r="K70" t="s">
        <v>147</v>
      </c>
      <c r="L70" t="s">
        <v>147</v>
      </c>
      <c r="M70" t="s">
        <v>360</v>
      </c>
      <c r="N70" t="s">
        <v>443</v>
      </c>
      <c r="O70" t="s">
        <v>444</v>
      </c>
    </row>
    <row r="71">
      <c r="A71" t="str">
        <f>_xlfn.CONCAT(TBL_Sedes[[#This Row],[Ciudad]]," ",TBL_Sedes[[#This Row],[Nombre de la sede]])</f>
        <v xml:space="preserve">Bucaramanga Centro de Servicios Empresariales y Turísticos</v>
      </c>
      <c r="B71" t="s">
        <v>445</v>
      </c>
      <c r="C71">
        <v>93091000</v>
      </c>
      <c r="D71" t="s">
        <v>230</v>
      </c>
      <c r="E71" t="s">
        <v>434</v>
      </c>
      <c r="F71" t="s">
        <v>446</v>
      </c>
      <c r="G71" t="s">
        <v>447</v>
      </c>
      <c r="H71" t="s">
        <v>448</v>
      </c>
      <c r="I71" t="s">
        <v>156</v>
      </c>
      <c r="J71" t="s">
        <v>415</v>
      </c>
      <c r="K71" t="s">
        <v>449</v>
      </c>
      <c r="L71" t="s">
        <v>147</v>
      </c>
      <c r="M71" t="s">
        <v>148</v>
      </c>
      <c r="N71" t="s">
        <v>450</v>
      </c>
      <c r="O71" t="s">
        <v>451</v>
      </c>
      <c r="P71">
        <v>3153732432</v>
      </c>
      <c r="Q71">
        <v>73080</v>
      </c>
    </row>
    <row r="72">
      <c r="A72" t="str">
        <f>_xlfn.CONCAT(TBL_Sedes[[#This Row],[Ciudad]]," ",TBL_Sedes[[#This Row],[Nombre de la sede]])</f>
        <v xml:space="preserve">Bucaramanga Regional Santander</v>
      </c>
      <c r="B72">
        <v>137</v>
      </c>
      <c r="C72">
        <v>10106800</v>
      </c>
      <c r="D72" t="s">
        <v>230</v>
      </c>
      <c r="E72" t="s">
        <v>434</v>
      </c>
      <c r="F72" t="s">
        <v>452</v>
      </c>
      <c r="G72" t="s">
        <v>453</v>
      </c>
      <c r="H72" t="s">
        <v>122</v>
      </c>
      <c r="I72" t="s">
        <v>156</v>
      </c>
      <c r="J72" t="s">
        <v>454</v>
      </c>
      <c r="K72" t="s">
        <v>455</v>
      </c>
      <c r="L72" t="s">
        <v>147</v>
      </c>
      <c r="M72" t="s">
        <v>194</v>
      </c>
      <c r="N72" t="s">
        <v>456</v>
      </c>
      <c r="O72" t="s">
        <v>439</v>
      </c>
      <c r="P72">
        <v>3013751976</v>
      </c>
      <c r="Q72">
        <v>73748</v>
      </c>
    </row>
    <row r="73">
      <c r="A73" t="str">
        <f>_xlfn.CONCAT(TBL_Sedes[[#This Row],[Ciudad]]," ",TBL_Sedes[[#This Row],[Nombre de la sede]])</f>
        <v xml:space="preserve">Bucaramanga Sede Ased</v>
      </c>
      <c r="B73">
        <v>254</v>
      </c>
      <c r="C73">
        <v>93091003</v>
      </c>
      <c r="D73" t="s">
        <v>230</v>
      </c>
      <c r="E73" t="s">
        <v>434</v>
      </c>
      <c r="F73" t="s">
        <v>457</v>
      </c>
      <c r="G73" t="s">
        <v>458</v>
      </c>
      <c r="H73" t="s">
        <v>173</v>
      </c>
      <c r="I73" t="s">
        <v>156</v>
      </c>
      <c r="J73" t="s">
        <v>165</v>
      </c>
      <c r="K73" t="s">
        <v>259</v>
      </c>
      <c r="L73" t="s">
        <v>147</v>
      </c>
      <c r="M73" t="s">
        <v>360</v>
      </c>
      <c r="N73" t="s">
        <v>459</v>
      </c>
      <c r="O73" t="s">
        <v>451</v>
      </c>
      <c r="P73" t="s">
        <v>460</v>
      </c>
      <c r="Q73">
        <v>73080</v>
      </c>
    </row>
    <row r="74">
      <c r="A74" t="str">
        <f>_xlfn.CONCAT(TBL_Sedes[[#This Row],[Ciudad]]," ",TBL_Sedes[[#This Row],[Nombre de la sede]])</f>
        <v xml:space="preserve">Bucaramanga Sede Salud</v>
      </c>
      <c r="B74">
        <v>202</v>
      </c>
      <c r="C74">
        <v>93091002</v>
      </c>
      <c r="D74" t="s">
        <v>230</v>
      </c>
      <c r="E74" t="s">
        <v>434</v>
      </c>
      <c r="F74" t="s">
        <v>461</v>
      </c>
      <c r="G74" t="s">
        <v>462</v>
      </c>
      <c r="H74" t="s">
        <v>173</v>
      </c>
      <c r="I74" t="s">
        <v>174</v>
      </c>
      <c r="J74" t="s">
        <v>157</v>
      </c>
      <c r="K74" t="s">
        <v>147</v>
      </c>
      <c r="L74" t="s">
        <v>147</v>
      </c>
      <c r="M74" t="s">
        <v>148</v>
      </c>
      <c r="N74" t="s">
        <v>459</v>
      </c>
      <c r="O74" t="s">
        <v>451</v>
      </c>
      <c r="P74" t="s">
        <v>460</v>
      </c>
      <c r="Q74">
        <v>73080</v>
      </c>
    </row>
    <row r="75">
      <c r="A75" t="str">
        <f>_xlfn.CONCAT(TBL_Sedes[[#This Row],[Ciudad]]," ",TBL_Sedes[[#This Row],[Nombre de la sede]])</f>
        <v xml:space="preserve">Bucaramanga Servicio Médico Asistencial</v>
      </c>
      <c r="B75">
        <v>331</v>
      </c>
      <c r="C75">
        <v>10106850</v>
      </c>
      <c r="D75" t="s">
        <v>230</v>
      </c>
      <c r="E75" t="s">
        <v>434</v>
      </c>
      <c r="F75" t="s">
        <v>395</v>
      </c>
      <c r="G75" t="s">
        <v>463</v>
      </c>
      <c r="H75" t="s">
        <v>217</v>
      </c>
      <c r="I75" t="s">
        <v>174</v>
      </c>
      <c r="J75" t="s">
        <v>464</v>
      </c>
      <c r="K75" t="s">
        <v>147</v>
      </c>
      <c r="L75" t="s">
        <v>147</v>
      </c>
      <c r="M75" t="s">
        <v>148</v>
      </c>
      <c r="N75" t="s">
        <v>438</v>
      </c>
      <c r="O75" t="s">
        <v>439</v>
      </c>
      <c r="P75">
        <v>3013751976</v>
      </c>
      <c r="Q75" t="s">
        <v>440</v>
      </c>
    </row>
    <row r="76">
      <c r="A76" t="str">
        <f>_xlfn.CONCAT(TBL_Sedes[[#This Row],[Ciudad]]," ",TBL_Sedes[[#This Row],[Nombre de la sede]])</f>
        <v xml:space="preserve">Bucaramanga Subsede</v>
      </c>
      <c r="B76">
        <v>332</v>
      </c>
      <c r="C76">
        <v>10106851</v>
      </c>
      <c r="D76" t="s">
        <v>230</v>
      </c>
      <c r="E76" t="s">
        <v>434</v>
      </c>
      <c r="F76" t="s">
        <v>465</v>
      </c>
      <c r="G76" t="s">
        <v>466</v>
      </c>
      <c r="H76" t="s">
        <v>217</v>
      </c>
      <c r="I76" t="s">
        <v>174</v>
      </c>
      <c r="J76" t="s">
        <v>464</v>
      </c>
      <c r="K76" t="s">
        <v>147</v>
      </c>
      <c r="L76" t="s">
        <v>147</v>
      </c>
      <c r="M76" t="s">
        <v>148</v>
      </c>
      <c r="N76" t="s">
        <v>438</v>
      </c>
      <c r="O76" t="s">
        <v>439</v>
      </c>
      <c r="P76">
        <v>3013751976</v>
      </c>
      <c r="Q76" t="s">
        <v>440</v>
      </c>
      <c r="R76" t="s">
        <v>380</v>
      </c>
      <c r="S76" t="s">
        <v>147</v>
      </c>
      <c r="T76" t="s">
        <v>147</v>
      </c>
    </row>
    <row r="77">
      <c r="A77" t="str">
        <f>_xlfn.CONCAT(TBL_Sedes[[#This Row],[Ciudad]]," ",TBL_Sedes[[#This Row],[Nombre de la sede]])</f>
        <v xml:space="preserve">Bucaramanga Subsede</v>
      </c>
      <c r="B77">
        <v>334</v>
      </c>
      <c r="C77">
        <v>10106853</v>
      </c>
      <c r="D77" t="s">
        <v>230</v>
      </c>
      <c r="E77" t="s">
        <v>434</v>
      </c>
      <c r="F77" t="s">
        <v>465</v>
      </c>
      <c r="G77" t="s">
        <v>467</v>
      </c>
      <c r="H77" t="s">
        <v>217</v>
      </c>
      <c r="I77" t="s">
        <v>174</v>
      </c>
      <c r="J77" t="s">
        <v>259</v>
      </c>
      <c r="K77" t="s">
        <v>147</v>
      </c>
      <c r="L77" t="s">
        <v>147</v>
      </c>
      <c r="M77" t="s">
        <v>148</v>
      </c>
      <c r="N77" t="s">
        <v>438</v>
      </c>
      <c r="O77" t="s">
        <v>439</v>
      </c>
      <c r="P77">
        <v>3013751976</v>
      </c>
      <c r="Q77" t="s">
        <v>440</v>
      </c>
      <c r="R77" t="s">
        <v>151</v>
      </c>
      <c r="S77" t="s">
        <v>147</v>
      </c>
      <c r="T77" t="s">
        <v>147</v>
      </c>
    </row>
    <row r="78">
      <c r="A78" t="str">
        <f>_xlfn.CONCAT(TBL_Sedes[[#This Row],[Ciudad]]," ",TBL_Sedes[[#This Row],[Nombre de la sede]])</f>
        <v xml:space="preserve">Bucaramanga Tecnoacademia Bucaramanga</v>
      </c>
      <c r="B78">
        <v>191</v>
      </c>
      <c r="C78">
        <v>92251001</v>
      </c>
      <c r="D78" t="s">
        <v>230</v>
      </c>
      <c r="E78" t="s">
        <v>434</v>
      </c>
      <c r="F78" t="s">
        <v>468</v>
      </c>
      <c r="G78" t="s">
        <v>469</v>
      </c>
      <c r="H78" t="s">
        <v>173</v>
      </c>
      <c r="I78" t="s">
        <v>174</v>
      </c>
      <c r="J78" t="s">
        <v>278</v>
      </c>
      <c r="K78" t="s">
        <v>147</v>
      </c>
      <c r="L78" t="s">
        <v>147</v>
      </c>
      <c r="M78" t="s">
        <v>148</v>
      </c>
      <c r="N78" t="s">
        <v>470</v>
      </c>
      <c r="O78" t="s">
        <v>471</v>
      </c>
      <c r="P78">
        <v>3008456148</v>
      </c>
      <c r="Q78">
        <v>73552</v>
      </c>
      <c r="S78" t="s">
        <v>169</v>
      </c>
      <c r="T78" t="s">
        <v>472</v>
      </c>
    </row>
    <row r="79">
      <c r="A79" t="str">
        <f>_xlfn.CONCAT(TBL_Sedes[[#This Row],[Ciudad]]," ",TBL_Sedes[[#This Row],[Nombre de la sede]])</f>
        <v xml:space="preserve">Bucaramanga Tecnoparque Bucaramanga</v>
      </c>
      <c r="B79">
        <v>312</v>
      </c>
      <c r="C79">
        <v>92251002</v>
      </c>
      <c r="D79" t="s">
        <v>230</v>
      </c>
      <c r="E79" t="s">
        <v>434</v>
      </c>
      <c r="F79" t="s">
        <v>473</v>
      </c>
      <c r="G79" t="s">
        <v>474</v>
      </c>
      <c r="H79" t="s">
        <v>173</v>
      </c>
      <c r="I79" t="s">
        <v>174</v>
      </c>
      <c r="J79" t="s">
        <v>475</v>
      </c>
      <c r="K79" t="s">
        <v>147</v>
      </c>
      <c r="L79" t="s">
        <v>147</v>
      </c>
      <c r="M79" t="s">
        <v>148</v>
      </c>
      <c r="N79" t="s">
        <v>470</v>
      </c>
      <c r="O79" t="s">
        <v>471</v>
      </c>
      <c r="P79">
        <v>3008456148</v>
      </c>
      <c r="Q79">
        <v>73552</v>
      </c>
      <c r="R79" t="s">
        <v>168</v>
      </c>
      <c r="S79" t="s">
        <v>476</v>
      </c>
      <c r="T79" t="s">
        <v>170</v>
      </c>
    </row>
    <row r="80">
      <c r="A80" t="str">
        <f>_xlfn.CONCAT(TBL_Sedes[[#This Row],[Ciudad]]," ",TBL_Sedes[[#This Row],[Nombre de la sede]])</f>
        <v xml:space="preserve">Bucaramanga Unidad De Correspondencia Archivo Central</v>
      </c>
      <c r="B80">
        <v>335</v>
      </c>
      <c r="C80">
        <v>10106854</v>
      </c>
      <c r="D80" t="s">
        <v>230</v>
      </c>
      <c r="E80" t="s">
        <v>434</v>
      </c>
      <c r="F80" t="s">
        <v>477</v>
      </c>
      <c r="G80" t="s">
        <v>478</v>
      </c>
      <c r="H80" t="s">
        <v>217</v>
      </c>
      <c r="I80" t="s">
        <v>174</v>
      </c>
      <c r="J80" t="s">
        <v>259</v>
      </c>
      <c r="K80" t="s">
        <v>147</v>
      </c>
      <c r="L80" t="s">
        <v>147</v>
      </c>
      <c r="M80" t="s">
        <v>148</v>
      </c>
      <c r="N80" t="s">
        <v>438</v>
      </c>
      <c r="O80" t="s">
        <v>439</v>
      </c>
      <c r="P80">
        <v>3013751976</v>
      </c>
      <c r="Q80" t="s">
        <v>440</v>
      </c>
    </row>
    <row r="81">
      <c r="A81" t="str">
        <f>_xlfn.CONCAT(TBL_Sedes[[#This Row],[Ciudad]]," ",TBL_Sedes[[#This Row],[Nombre de la sede]])</f>
        <v xml:space="preserve">Buenaventura Centro Náutico Pesquero de Buenaventura</v>
      </c>
      <c r="B81">
        <v>268</v>
      </c>
      <c r="C81">
        <v>91261001</v>
      </c>
      <c r="D81" t="s">
        <v>479</v>
      </c>
      <c r="E81" t="s">
        <v>480</v>
      </c>
      <c r="F81" t="s">
        <v>481</v>
      </c>
      <c r="G81" t="s">
        <v>482</v>
      </c>
      <c r="H81" t="s">
        <v>224</v>
      </c>
      <c r="I81" t="s">
        <v>156</v>
      </c>
      <c r="J81" t="s">
        <v>483</v>
      </c>
      <c r="K81" t="s">
        <v>484</v>
      </c>
      <c r="L81" t="s">
        <v>147</v>
      </c>
      <c r="M81" t="s">
        <v>148</v>
      </c>
      <c r="N81" t="s">
        <v>485</v>
      </c>
      <c r="O81" t="s">
        <v>486</v>
      </c>
      <c r="P81">
        <v>3214531968</v>
      </c>
      <c r="Q81">
        <v>23419</v>
      </c>
      <c r="R81" t="s">
        <v>151</v>
      </c>
      <c r="S81" t="s">
        <v>147</v>
      </c>
      <c r="T81" t="s">
        <v>147</v>
      </c>
    </row>
    <row r="82">
      <c r="A82" t="str">
        <f>_xlfn.CONCAT(TBL_Sedes[[#This Row],[Ciudad]]," ",TBL_Sedes[[#This Row],[Nombre de la sede]])</f>
        <v xml:space="preserve">Buenaventura Sede Centro Náutico Pesquero De Buenaventura</v>
      </c>
      <c r="B82">
        <v>161</v>
      </c>
      <c r="C82">
        <v>91261000</v>
      </c>
      <c r="D82" t="s">
        <v>487</v>
      </c>
      <c r="E82" t="s">
        <v>480</v>
      </c>
      <c r="F82" t="s">
        <v>488</v>
      </c>
      <c r="G82" t="s">
        <v>489</v>
      </c>
      <c r="H82" t="s">
        <v>144</v>
      </c>
      <c r="I82" t="s">
        <v>145</v>
      </c>
      <c r="J82" t="s">
        <v>206</v>
      </c>
      <c r="K82" t="s">
        <v>147</v>
      </c>
      <c r="L82" t="s">
        <v>147</v>
      </c>
      <c r="M82" t="s">
        <v>148</v>
      </c>
      <c r="N82" t="s">
        <v>485</v>
      </c>
      <c r="O82" t="s">
        <v>486</v>
      </c>
      <c r="P82">
        <v>3214531968</v>
      </c>
      <c r="Q82">
        <v>23419</v>
      </c>
      <c r="S82" t="s">
        <v>490</v>
      </c>
      <c r="T82" t="s">
        <v>491</v>
      </c>
    </row>
    <row r="83">
      <c r="A83" t="str">
        <f>_xlfn.CONCAT(TBL_Sedes[[#This Row],[Ciudad]]," ",TBL_Sedes[[#This Row],[Nombre de la sede]])</f>
        <v xml:space="preserve">Buga Centro Agropecuario De Buga</v>
      </c>
      <c r="B83">
        <v>160</v>
      </c>
      <c r="C83">
        <v>91241000</v>
      </c>
      <c r="D83" t="s">
        <v>487</v>
      </c>
      <c r="E83" t="s">
        <v>492</v>
      </c>
      <c r="F83" t="s">
        <v>493</v>
      </c>
      <c r="G83" t="s">
        <v>494</v>
      </c>
      <c r="H83" t="s">
        <v>144</v>
      </c>
      <c r="I83" t="s">
        <v>145</v>
      </c>
      <c r="J83" t="s">
        <v>206</v>
      </c>
      <c r="K83" t="s">
        <v>147</v>
      </c>
      <c r="L83" t="s">
        <v>147</v>
      </c>
      <c r="M83" t="s">
        <v>148</v>
      </c>
      <c r="N83" t="s">
        <v>495</v>
      </c>
      <c r="O83" t="s">
        <v>496</v>
      </c>
      <c r="P83">
        <v>3165085585</v>
      </c>
      <c r="Q83">
        <v>23288</v>
      </c>
      <c r="R83" t="s">
        <v>151</v>
      </c>
      <c r="S83" t="s">
        <v>147</v>
      </c>
      <c r="T83" t="s">
        <v>147</v>
      </c>
    </row>
    <row r="84">
      <c r="A84" t="str">
        <f>_xlfn.CONCAT(TBL_Sedes[[#This Row],[Ciudad]]," ",TBL_Sedes[[#This Row],[Nombre de la sede]])</f>
        <v xml:space="preserve">Cajicá Sede - Cajicá</v>
      </c>
      <c r="B84">
        <v>92</v>
      </c>
      <c r="C84">
        <v>95131001</v>
      </c>
      <c r="D84" t="s">
        <v>370</v>
      </c>
      <c r="E84" t="s">
        <v>497</v>
      </c>
      <c r="F84" t="s">
        <v>498</v>
      </c>
      <c r="G84" t="s">
        <v>499</v>
      </c>
      <c r="H84" t="s">
        <v>173</v>
      </c>
      <c r="I84" t="s">
        <v>174</v>
      </c>
      <c r="J84" t="s">
        <v>206</v>
      </c>
      <c r="K84" t="s">
        <v>147</v>
      </c>
      <c r="L84" t="s">
        <v>147</v>
      </c>
      <c r="M84" t="s">
        <v>148</v>
      </c>
      <c r="N84" t="s">
        <v>500</v>
      </c>
      <c r="O84" t="s">
        <v>501</v>
      </c>
      <c r="P84" t="s">
        <v>502</v>
      </c>
      <c r="Q84">
        <v>18071</v>
      </c>
      <c r="R84" t="s">
        <v>380</v>
      </c>
      <c r="S84" t="s">
        <v>147</v>
      </c>
      <c r="T84" t="s">
        <v>147</v>
      </c>
    </row>
    <row r="85">
      <c r="A85" t="str">
        <f>_xlfn.CONCAT(TBL_Sedes[[#This Row],[Ciudad]]," ",TBL_Sedes[[#This Row],[Nombre de la sede]])</f>
        <v xml:space="preserve">Caldas Centro De Los Recursos Naturales Renovables - La Salada</v>
      </c>
      <c r="B85">
        <v>5</v>
      </c>
      <c r="C85">
        <v>91011000</v>
      </c>
      <c r="D85" t="s">
        <v>152</v>
      </c>
      <c r="E85" t="s">
        <v>503</v>
      </c>
      <c r="F85" t="s">
        <v>504</v>
      </c>
      <c r="G85" t="s">
        <v>505</v>
      </c>
      <c r="H85" t="s">
        <v>144</v>
      </c>
      <c r="I85" t="s">
        <v>145</v>
      </c>
      <c r="J85" t="s">
        <v>506</v>
      </c>
      <c r="K85" t="s">
        <v>147</v>
      </c>
      <c r="L85" t="s">
        <v>147</v>
      </c>
      <c r="M85" t="s">
        <v>194</v>
      </c>
      <c r="N85" t="s">
        <v>507</v>
      </c>
      <c r="O85" t="s">
        <v>508</v>
      </c>
      <c r="P85">
        <v>3229758469</v>
      </c>
      <c r="Q85">
        <v>42932</v>
      </c>
      <c r="R85" t="s">
        <v>151</v>
      </c>
      <c r="S85" t="s">
        <v>147</v>
      </c>
      <c r="T85" t="s">
        <v>147</v>
      </c>
    </row>
    <row r="86">
      <c r="A86" t="str">
        <f>_xlfn.CONCAT(TBL_Sedes[[#This Row],[Ciudad]]," ",TBL_Sedes[[#This Row],[Nombre de la sede]])</f>
        <v xml:space="preserve">Cali Centro De Diseño Tecnológico Industrial - Complejo Salomia</v>
      </c>
      <c r="B86" t="s">
        <v>509</v>
      </c>
      <c r="C86">
        <v>92291000</v>
      </c>
      <c r="D86" t="s">
        <v>487</v>
      </c>
      <c r="E86" t="s">
        <v>510</v>
      </c>
      <c r="F86" t="s">
        <v>511</v>
      </c>
      <c r="G86" t="s">
        <v>512</v>
      </c>
      <c r="H86" t="s">
        <v>144</v>
      </c>
      <c r="I86" t="s">
        <v>156</v>
      </c>
      <c r="J86" t="s">
        <v>513</v>
      </c>
      <c r="K86" t="s">
        <v>147</v>
      </c>
      <c r="L86" t="s">
        <v>147</v>
      </c>
      <c r="M86" t="s">
        <v>148</v>
      </c>
      <c r="N86" t="s">
        <v>514</v>
      </c>
      <c r="O86" t="s">
        <v>515</v>
      </c>
      <c r="P86" t="s">
        <v>516</v>
      </c>
      <c r="Q86">
        <v>22791</v>
      </c>
      <c r="R86" t="s">
        <v>151</v>
      </c>
      <c r="S86" t="s">
        <v>147</v>
      </c>
      <c r="T86" t="s">
        <v>147</v>
      </c>
    </row>
    <row r="87">
      <c r="A87" t="str">
        <f>_xlfn.CONCAT(TBL_Sedes[[#This Row],[Ciudad]]," ",TBL_Sedes[[#This Row],[Nombre de la sede]])</f>
        <v xml:space="preserve">Cali Centro De Diseño Tecnológico Industrial –C.D.T.I. El Pondaje</v>
      </c>
      <c r="B87">
        <v>181</v>
      </c>
      <c r="C87">
        <v>92291001</v>
      </c>
      <c r="D87" t="s">
        <v>487</v>
      </c>
      <c r="E87" t="s">
        <v>510</v>
      </c>
      <c r="F87" t="s">
        <v>517</v>
      </c>
      <c r="G87" t="s">
        <v>518</v>
      </c>
      <c r="H87" t="s">
        <v>173</v>
      </c>
      <c r="I87" t="s">
        <v>156</v>
      </c>
      <c r="J87" t="s">
        <v>193</v>
      </c>
      <c r="K87" t="s">
        <v>218</v>
      </c>
      <c r="L87" t="s">
        <v>147</v>
      </c>
      <c r="M87" t="s">
        <v>148</v>
      </c>
      <c r="N87" t="s">
        <v>514</v>
      </c>
      <c r="O87" t="s">
        <v>515</v>
      </c>
      <c r="P87" t="s">
        <v>516</v>
      </c>
      <c r="Q87">
        <v>22791</v>
      </c>
    </row>
    <row r="88">
      <c r="A88" t="str">
        <f>_xlfn.CONCAT(TBL_Sedes[[#This Row],[Ciudad]]," ",TBL_Sedes[[#This Row],[Nombre de la sede]])</f>
        <v xml:space="preserve">Cali Centro De Electricidad Y Automatización Industrial - Ceai - Complejo Salomia</v>
      </c>
      <c r="B88" t="s">
        <v>519</v>
      </c>
      <c r="C88">
        <v>92271000</v>
      </c>
      <c r="D88" t="s">
        <v>487</v>
      </c>
      <c r="E88" t="s">
        <v>510</v>
      </c>
      <c r="F88" t="s">
        <v>520</v>
      </c>
      <c r="G88" t="s">
        <v>512</v>
      </c>
      <c r="H88" t="s">
        <v>144</v>
      </c>
      <c r="I88" t="s">
        <v>156</v>
      </c>
      <c r="J88" t="s">
        <v>513</v>
      </c>
      <c r="K88" t="s">
        <v>147</v>
      </c>
      <c r="L88" t="s">
        <v>147</v>
      </c>
      <c r="M88" t="s">
        <v>148</v>
      </c>
      <c r="N88" t="s">
        <v>521</v>
      </c>
      <c r="O88" t="s">
        <v>522</v>
      </c>
      <c r="P88" t="s">
        <v>523</v>
      </c>
      <c r="Q88">
        <v>23031</v>
      </c>
      <c r="R88" t="s">
        <v>151</v>
      </c>
      <c r="S88" t="s">
        <v>147</v>
      </c>
      <c r="T88" t="s">
        <v>147</v>
      </c>
    </row>
    <row r="89">
      <c r="A89" t="str">
        <f>_xlfn.CONCAT(TBL_Sedes[[#This Row],[Ciudad]]," ",TBL_Sedes[[#This Row],[Nombre de la sede]])</f>
        <v xml:space="preserve">Cali Centro De Gestión Tecnológica De Servicios -Cgts - Complejo Salomia</v>
      </c>
      <c r="B89" t="s">
        <v>524</v>
      </c>
      <c r="C89">
        <v>93111000</v>
      </c>
      <c r="D89" t="s">
        <v>487</v>
      </c>
      <c r="E89" t="s">
        <v>510</v>
      </c>
      <c r="F89" t="s">
        <v>525</v>
      </c>
      <c r="G89" t="s">
        <v>512</v>
      </c>
      <c r="H89" t="s">
        <v>144</v>
      </c>
      <c r="I89" t="s">
        <v>156</v>
      </c>
      <c r="J89" t="s">
        <v>200</v>
      </c>
      <c r="K89" t="s">
        <v>147</v>
      </c>
      <c r="L89" t="s">
        <v>147</v>
      </c>
      <c r="M89" t="s">
        <v>148</v>
      </c>
      <c r="N89" t="s">
        <v>526</v>
      </c>
      <c r="O89" t="s">
        <v>527</v>
      </c>
      <c r="P89">
        <v>3108438599</v>
      </c>
      <c r="Q89">
        <v>22524</v>
      </c>
      <c r="R89" t="s">
        <v>151</v>
      </c>
      <c r="S89" t="s">
        <v>147</v>
      </c>
      <c r="T89" t="s">
        <v>147</v>
      </c>
    </row>
    <row r="90">
      <c r="A90" t="str">
        <f>_xlfn.CONCAT(TBL_Sedes[[#This Row],[Ciudad]]," ",TBL_Sedes[[#This Row],[Nombre de la sede]])</f>
        <v xml:space="preserve">Cali Centro De La Construcción</v>
      </c>
      <c r="B90">
        <v>162</v>
      </c>
      <c r="C90">
        <v>92281000</v>
      </c>
      <c r="D90" t="s">
        <v>487</v>
      </c>
      <c r="E90" t="s">
        <v>510</v>
      </c>
      <c r="F90" t="s">
        <v>528</v>
      </c>
      <c r="G90" t="s">
        <v>529</v>
      </c>
      <c r="H90" t="s">
        <v>144</v>
      </c>
      <c r="I90" t="s">
        <v>145</v>
      </c>
      <c r="J90" t="s">
        <v>530</v>
      </c>
      <c r="K90" t="s">
        <v>513</v>
      </c>
      <c r="L90" t="s">
        <v>218</v>
      </c>
      <c r="M90" t="s">
        <v>148</v>
      </c>
      <c r="N90" t="s">
        <v>531</v>
      </c>
      <c r="O90" t="s">
        <v>532</v>
      </c>
      <c r="P90" t="s">
        <v>533</v>
      </c>
      <c r="Q90">
        <v>23511</v>
      </c>
      <c r="R90" t="s">
        <v>380</v>
      </c>
      <c r="S90" t="s">
        <v>147</v>
      </c>
      <c r="T90" t="s">
        <v>147</v>
      </c>
    </row>
    <row r="91">
      <c r="A91" t="str">
        <f>_xlfn.CONCAT(TBL_Sedes[[#This Row],[Ciudad]]," ",TBL_Sedes[[#This Row],[Nombre de la sede]])</f>
        <v xml:space="preserve">Cali Centro Nacional De Asistencia Técnica A La Industria - Astin - Complejo Salomia</v>
      </c>
      <c r="B91" t="s">
        <v>534</v>
      </c>
      <c r="C91">
        <v>92301000</v>
      </c>
      <c r="D91" t="s">
        <v>487</v>
      </c>
      <c r="E91" t="s">
        <v>510</v>
      </c>
      <c r="F91" t="s">
        <v>535</v>
      </c>
      <c r="G91" t="s">
        <v>512</v>
      </c>
      <c r="H91" t="s">
        <v>144</v>
      </c>
      <c r="I91" t="s">
        <v>156</v>
      </c>
      <c r="J91" t="s">
        <v>536</v>
      </c>
      <c r="K91" t="s">
        <v>147</v>
      </c>
      <c r="L91" t="s">
        <v>147</v>
      </c>
      <c r="M91" t="s">
        <v>148</v>
      </c>
      <c r="N91" t="s">
        <v>537</v>
      </c>
      <c r="O91" t="s">
        <v>538</v>
      </c>
      <c r="P91">
        <v>3004139722</v>
      </c>
      <c r="Q91">
        <v>22810</v>
      </c>
      <c r="R91" t="s">
        <v>151</v>
      </c>
      <c r="S91" t="s">
        <v>147</v>
      </c>
      <c r="T91" t="s">
        <v>147</v>
      </c>
    </row>
    <row r="92">
      <c r="A92" t="str">
        <f>_xlfn.CONCAT(TBL_Sedes[[#This Row],[Ciudad]]," ",TBL_Sedes[[#This Row],[Nombre de la sede]])</f>
        <v xml:space="preserve">Cali Complejo Salomia- Administrativa</v>
      </c>
      <c r="B92">
        <v>364</v>
      </c>
      <c r="C92">
        <v>92301001</v>
      </c>
      <c r="D92" t="s">
        <v>487</v>
      </c>
      <c r="E92" t="s">
        <v>510</v>
      </c>
      <c r="F92" t="s">
        <v>539</v>
      </c>
      <c r="G92" t="s">
        <v>540</v>
      </c>
      <c r="H92" t="s">
        <v>366</v>
      </c>
      <c r="I92" t="s">
        <v>156</v>
      </c>
      <c r="J92" t="s">
        <v>483</v>
      </c>
      <c r="K92" t="s">
        <v>541</v>
      </c>
      <c r="L92" t="s">
        <v>147</v>
      </c>
      <c r="M92" t="s">
        <v>148</v>
      </c>
      <c r="N92" t="s">
        <v>542</v>
      </c>
      <c r="O92" t="s">
        <v>543</v>
      </c>
      <c r="P92">
        <v>3206487130</v>
      </c>
      <c r="Q92" t="s">
        <v>338</v>
      </c>
      <c r="R92" t="s">
        <v>168</v>
      </c>
      <c r="S92" t="s">
        <v>544</v>
      </c>
      <c r="T92" t="s">
        <v>545</v>
      </c>
    </row>
    <row r="93">
      <c r="A93" t="str">
        <f>_xlfn.CONCAT(TBL_Sedes[[#This Row],[Ciudad]]," ",TBL_Sedes[[#This Row],[Nombre de la sede]])</f>
        <v xml:space="preserve">Cali Edificio Administrativo de la Regional del Valle Avenida 6ta</v>
      </c>
      <c r="B93">
        <v>368</v>
      </c>
      <c r="C93">
        <v>10107603</v>
      </c>
      <c r="D93" t="s">
        <v>487</v>
      </c>
      <c r="E93" t="s">
        <v>510</v>
      </c>
      <c r="F93" t="s">
        <v>546</v>
      </c>
      <c r="G93" t="s">
        <v>547</v>
      </c>
      <c r="H93" t="s">
        <v>224</v>
      </c>
      <c r="I93" t="s">
        <v>174</v>
      </c>
      <c r="J93" t="s">
        <v>548</v>
      </c>
      <c r="K93" t="s">
        <v>147</v>
      </c>
      <c r="L93" t="s">
        <v>147</v>
      </c>
      <c r="M93" t="s">
        <v>148</v>
      </c>
      <c r="N93" t="s">
        <v>549</v>
      </c>
      <c r="O93" t="s">
        <v>550</v>
      </c>
      <c r="P93">
        <v>3113677636</v>
      </c>
      <c r="Q93">
        <v>22707</v>
      </c>
      <c r="R93" t="s">
        <v>168</v>
      </c>
      <c r="S93" t="s">
        <v>551</v>
      </c>
      <c r="T93" t="s">
        <v>552</v>
      </c>
    </row>
    <row r="94">
      <c r="A94" t="str">
        <f>_xlfn.CONCAT(TBL_Sedes[[#This Row],[Ciudad]]," ",TBL_Sedes[[#This Row],[Nombre de la sede]])</f>
        <v xml:space="preserve">Cali Regional Valle</v>
      </c>
      <c r="B94">
        <v>158</v>
      </c>
      <c r="C94">
        <v>10107600</v>
      </c>
      <c r="D94" t="s">
        <v>487</v>
      </c>
      <c r="E94" t="s">
        <v>510</v>
      </c>
      <c r="F94" t="s">
        <v>553</v>
      </c>
      <c r="G94" t="s">
        <v>512</v>
      </c>
      <c r="H94" t="s">
        <v>122</v>
      </c>
      <c r="I94" t="s">
        <v>156</v>
      </c>
      <c r="J94" t="s">
        <v>513</v>
      </c>
      <c r="K94" t="s">
        <v>147</v>
      </c>
      <c r="L94" t="s">
        <v>147</v>
      </c>
      <c r="M94" t="s">
        <v>148</v>
      </c>
      <c r="N94" t="s">
        <v>554</v>
      </c>
      <c r="O94" t="s">
        <v>550</v>
      </c>
      <c r="P94" t="s">
        <v>555</v>
      </c>
      <c r="Q94">
        <v>22707</v>
      </c>
      <c r="R94" t="s">
        <v>151</v>
      </c>
      <c r="S94" t="s">
        <v>147</v>
      </c>
      <c r="T94" t="s">
        <v>147</v>
      </c>
    </row>
    <row r="95">
      <c r="A95" t="str">
        <f>_xlfn.CONCAT(TBL_Sedes[[#This Row],[Ciudad]]," ",TBL_Sedes[[#This Row],[Nombre de la sede]])</f>
        <v xml:space="preserve">Cali Sede Alameda Centro De Electricidad Y Automatización Industrial</v>
      </c>
      <c r="B95">
        <v>190</v>
      </c>
      <c r="C95">
        <v>92271002</v>
      </c>
      <c r="D95" t="s">
        <v>487</v>
      </c>
      <c r="E95" t="s">
        <v>510</v>
      </c>
      <c r="F95" t="s">
        <v>556</v>
      </c>
      <c r="G95" t="s">
        <v>557</v>
      </c>
      <c r="H95" t="s">
        <v>173</v>
      </c>
      <c r="I95" t="s">
        <v>145</v>
      </c>
      <c r="J95" t="s">
        <v>147</v>
      </c>
      <c r="K95" t="s">
        <v>147</v>
      </c>
      <c r="L95" t="s">
        <v>147</v>
      </c>
      <c r="M95" t="s">
        <v>360</v>
      </c>
      <c r="N95" t="s">
        <v>558</v>
      </c>
      <c r="O95" t="s">
        <v>522</v>
      </c>
      <c r="P95">
        <v>3043369377</v>
      </c>
      <c r="Q95">
        <v>23031</v>
      </c>
    </row>
    <row r="96">
      <c r="A96" t="str">
        <f>_xlfn.CONCAT(TBL_Sedes[[#This Row],[Ciudad]]," ",TBL_Sedes[[#This Row],[Nombre de la sede]])</f>
        <v xml:space="preserve">Cali Sede Bretaña - Ceai</v>
      </c>
      <c r="B96">
        <v>180</v>
      </c>
      <c r="C96">
        <v>92271001</v>
      </c>
      <c r="D96" t="s">
        <v>487</v>
      </c>
      <c r="E96" t="s">
        <v>510</v>
      </c>
      <c r="F96" t="s">
        <v>559</v>
      </c>
      <c r="G96" t="s">
        <v>560</v>
      </c>
      <c r="H96" t="s">
        <v>173</v>
      </c>
      <c r="I96" t="s">
        <v>145</v>
      </c>
      <c r="J96" t="s">
        <v>206</v>
      </c>
      <c r="K96" t="s">
        <v>200</v>
      </c>
      <c r="L96" t="s">
        <v>218</v>
      </c>
      <c r="M96" t="s">
        <v>360</v>
      </c>
      <c r="N96" t="s">
        <v>521</v>
      </c>
      <c r="O96" t="s">
        <v>522</v>
      </c>
      <c r="P96" t="s">
        <v>523</v>
      </c>
      <c r="Q96">
        <v>23031</v>
      </c>
    </row>
    <row r="97">
      <c r="A97" t="str">
        <f>_xlfn.CONCAT(TBL_Sedes[[#This Row],[Ciudad]]," ",TBL_Sedes[[#This Row],[Nombre de la sede]])</f>
        <v xml:space="preserve">Cali Sede Escuela Gastronómica Del Centro De Gestión Tecnológica De Servicios</v>
      </c>
      <c r="B97">
        <v>182</v>
      </c>
      <c r="C97">
        <v>93111001</v>
      </c>
      <c r="D97" t="s">
        <v>487</v>
      </c>
      <c r="E97" t="s">
        <v>510</v>
      </c>
      <c r="F97" t="s">
        <v>561</v>
      </c>
      <c r="G97" t="s">
        <v>562</v>
      </c>
      <c r="H97" t="s">
        <v>173</v>
      </c>
      <c r="I97" t="s">
        <v>174</v>
      </c>
      <c r="J97" t="s">
        <v>146</v>
      </c>
      <c r="K97" t="s">
        <v>147</v>
      </c>
      <c r="L97" t="s">
        <v>147</v>
      </c>
      <c r="M97" t="s">
        <v>148</v>
      </c>
      <c r="N97" t="s">
        <v>563</v>
      </c>
      <c r="O97" t="s">
        <v>527</v>
      </c>
      <c r="P97">
        <v>3108438599</v>
      </c>
      <c r="Q97">
        <v>22524</v>
      </c>
    </row>
    <row r="98">
      <c r="A98" t="str">
        <f>_xlfn.CONCAT(TBL_Sedes[[#This Row],[Ciudad]]," ",TBL_Sedes[[#This Row],[Nombre de la sede]])</f>
        <v xml:space="preserve">Cali Sede Norte - CEAI</v>
      </c>
      <c r="B98">
        <v>355</v>
      </c>
      <c r="C98">
        <v>92271002</v>
      </c>
      <c r="D98" t="s">
        <v>487</v>
      </c>
      <c r="E98" t="s">
        <v>510</v>
      </c>
      <c r="F98" t="s">
        <v>564</v>
      </c>
      <c r="G98" t="s">
        <v>565</v>
      </c>
      <c r="H98" t="s">
        <v>566</v>
      </c>
      <c r="I98" t="s">
        <v>174</v>
      </c>
      <c r="J98" t="s">
        <v>567</v>
      </c>
      <c r="K98" t="s">
        <v>475</v>
      </c>
      <c r="L98" t="s">
        <v>147</v>
      </c>
      <c r="M98" t="s">
        <v>148</v>
      </c>
      <c r="N98" t="s">
        <v>244</v>
      </c>
      <c r="O98" t="s">
        <v>245</v>
      </c>
      <c r="P98">
        <v>3024012301</v>
      </c>
      <c r="Q98">
        <v>52734</v>
      </c>
      <c r="S98" t="s">
        <v>568</v>
      </c>
      <c r="T98" t="s">
        <v>569</v>
      </c>
    </row>
    <row r="99">
      <c r="A99" t="str">
        <f>_xlfn.CONCAT(TBL_Sedes[[#This Row],[Ciudad]]," ",TBL_Sedes[[#This Row],[Nombre de la sede]])</f>
        <v xml:space="preserve">Cali Spe Cali</v>
      </c>
      <c r="B99">
        <v>159</v>
      </c>
      <c r="C99">
        <v>10107601</v>
      </c>
      <c r="D99" t="s">
        <v>487</v>
      </c>
      <c r="E99" t="s">
        <v>510</v>
      </c>
      <c r="F99" t="s">
        <v>570</v>
      </c>
      <c r="G99" t="s">
        <v>571</v>
      </c>
      <c r="H99" t="s">
        <v>173</v>
      </c>
      <c r="I99" t="s">
        <v>145</v>
      </c>
      <c r="J99" t="s">
        <v>345</v>
      </c>
      <c r="K99" t="s">
        <v>147</v>
      </c>
      <c r="L99" t="s">
        <v>147</v>
      </c>
      <c r="M99" t="s">
        <v>148</v>
      </c>
      <c r="N99" t="s">
        <v>554</v>
      </c>
      <c r="O99" t="s">
        <v>550</v>
      </c>
      <c r="P99" t="s">
        <v>555</v>
      </c>
      <c r="Q99">
        <v>22707</v>
      </c>
      <c r="R99" t="s">
        <v>151</v>
      </c>
      <c r="S99" t="s">
        <v>147</v>
      </c>
      <c r="T99" t="s">
        <v>147</v>
      </c>
    </row>
    <row r="100">
      <c r="A100" t="str">
        <f>_xlfn.CONCAT(TBL_Sedes[[#This Row],[Ciudad]]," ",TBL_Sedes[[#This Row],[Nombre de la sede]])</f>
        <v xml:space="preserve">Cali Tecnoparque Colombia Plaza Caicedo</v>
      </c>
      <c r="B100">
        <v>225</v>
      </c>
      <c r="C100">
        <v>93111002</v>
      </c>
      <c r="D100" t="s">
        <v>487</v>
      </c>
      <c r="E100" t="s">
        <v>510</v>
      </c>
      <c r="F100" t="s">
        <v>572</v>
      </c>
      <c r="G100" t="s">
        <v>573</v>
      </c>
      <c r="H100" t="s">
        <v>173</v>
      </c>
      <c r="I100" t="s">
        <v>145</v>
      </c>
      <c r="J100" t="s">
        <v>146</v>
      </c>
      <c r="K100" t="s">
        <v>147</v>
      </c>
      <c r="L100" t="s">
        <v>147</v>
      </c>
      <c r="M100" t="s">
        <v>148</v>
      </c>
      <c r="N100" t="s">
        <v>537</v>
      </c>
      <c r="O100" t="s">
        <v>538</v>
      </c>
      <c r="P100">
        <v>3004139722</v>
      </c>
      <c r="Q100">
        <v>22810</v>
      </c>
      <c r="R100" t="s">
        <v>151</v>
      </c>
      <c r="S100" t="s">
        <v>147</v>
      </c>
      <c r="T100" t="s">
        <v>147</v>
      </c>
    </row>
    <row r="101">
      <c r="A101" t="str">
        <f>_xlfn.CONCAT(TBL_Sedes[[#This Row],[Ciudad]]," ",TBL_Sedes[[#This Row],[Nombre de la sede]])</f>
        <v xml:space="preserve">Campoalegre Centro De Formación Agroindustrial</v>
      </c>
      <c r="B101">
        <v>101</v>
      </c>
      <c r="C101">
        <v>91161000</v>
      </c>
      <c r="D101" t="s">
        <v>574</v>
      </c>
      <c r="E101" t="s">
        <v>575</v>
      </c>
      <c r="F101" t="s">
        <v>576</v>
      </c>
      <c r="G101" t="s">
        <v>577</v>
      </c>
      <c r="H101" t="s">
        <v>144</v>
      </c>
      <c r="I101" t="s">
        <v>156</v>
      </c>
      <c r="J101" t="s">
        <v>578</v>
      </c>
      <c r="K101" t="s">
        <v>147</v>
      </c>
      <c r="L101" t="s">
        <v>147</v>
      </c>
      <c r="M101" t="s">
        <v>148</v>
      </c>
      <c r="N101" t="s">
        <v>350</v>
      </c>
      <c r="O101">
        <v>0</v>
      </c>
      <c r="P101">
        <v>0</v>
      </c>
      <c r="Q101">
        <v>83560</v>
      </c>
      <c r="R101" t="s">
        <v>151</v>
      </c>
      <c r="S101" t="s">
        <v>147</v>
      </c>
      <c r="T101" t="s">
        <v>147</v>
      </c>
    </row>
    <row r="102">
      <c r="A102" t="str">
        <f>_xlfn.CONCAT(TBL_Sedes[[#This Row],[Ciudad]]," ",TBL_Sedes[[#This Row],[Nombre de la sede]])</f>
        <v xml:space="preserve">Cartagena Centro Agroempresarial Y Minero</v>
      </c>
      <c r="B102" t="s">
        <v>579</v>
      </c>
      <c r="C102">
        <v>91041000</v>
      </c>
      <c r="D102" t="s">
        <v>580</v>
      </c>
      <c r="E102" t="s">
        <v>581</v>
      </c>
      <c r="F102" t="s">
        <v>582</v>
      </c>
      <c r="G102" t="s">
        <v>583</v>
      </c>
      <c r="H102" t="s">
        <v>144</v>
      </c>
      <c r="I102" t="s">
        <v>156</v>
      </c>
      <c r="J102" t="s">
        <v>513</v>
      </c>
      <c r="K102" t="s">
        <v>584</v>
      </c>
      <c r="L102" t="s">
        <v>147</v>
      </c>
      <c r="M102" t="s">
        <v>148</v>
      </c>
      <c r="N102" t="s">
        <v>585</v>
      </c>
      <c r="O102" t="s">
        <v>586</v>
      </c>
      <c r="P102" t="s">
        <v>587</v>
      </c>
      <c r="Q102">
        <v>52486</v>
      </c>
    </row>
    <row r="103">
      <c r="A103" t="str">
        <f>_xlfn.CONCAT(TBL_Sedes[[#This Row],[Ciudad]]," ",TBL_Sedes[[#This Row],[Nombre de la sede]])</f>
        <v xml:space="preserve">Cartagena Centro De Comercio Y Servicios</v>
      </c>
      <c r="B103" t="s">
        <v>588</v>
      </c>
      <c r="C103">
        <v>93041000</v>
      </c>
      <c r="D103" t="s">
        <v>580</v>
      </c>
      <c r="E103" t="s">
        <v>581</v>
      </c>
      <c r="F103" t="s">
        <v>242</v>
      </c>
      <c r="G103" t="s">
        <v>589</v>
      </c>
      <c r="H103" t="s">
        <v>144</v>
      </c>
      <c r="I103" t="s">
        <v>156</v>
      </c>
      <c r="J103" t="s">
        <v>513</v>
      </c>
      <c r="K103" t="s">
        <v>584</v>
      </c>
      <c r="L103" t="s">
        <v>147</v>
      </c>
      <c r="M103" t="s">
        <v>148</v>
      </c>
      <c r="N103" t="s">
        <v>585</v>
      </c>
      <c r="O103" t="s">
        <v>586</v>
      </c>
      <c r="P103" t="s">
        <v>587</v>
      </c>
      <c r="Q103">
        <v>52486</v>
      </c>
    </row>
    <row r="104">
      <c r="A104" t="str">
        <f>_xlfn.CONCAT(TBL_Sedes[[#This Row],[Ciudad]]," ",TBL_Sedes[[#This Row],[Nombre de la sede]])</f>
        <v xml:space="preserve">Cartagena Centro Internacional Náutico, Fluvial Y Portuario</v>
      </c>
      <c r="B104">
        <v>46</v>
      </c>
      <c r="C104">
        <v>91051000</v>
      </c>
      <c r="D104" t="s">
        <v>580</v>
      </c>
      <c r="E104" t="s">
        <v>581</v>
      </c>
      <c r="F104" t="s">
        <v>590</v>
      </c>
      <c r="G104" t="s">
        <v>591</v>
      </c>
      <c r="H104" t="s">
        <v>144</v>
      </c>
      <c r="I104" t="s">
        <v>145</v>
      </c>
      <c r="J104" t="s">
        <v>206</v>
      </c>
      <c r="L104" t="s">
        <v>147</v>
      </c>
      <c r="M104" t="s">
        <v>148</v>
      </c>
      <c r="N104" t="s">
        <v>592</v>
      </c>
      <c r="O104" t="s">
        <v>593</v>
      </c>
      <c r="P104" t="s">
        <v>594</v>
      </c>
      <c r="Q104">
        <v>52730</v>
      </c>
    </row>
    <row r="105">
      <c r="A105" t="str">
        <f>_xlfn.CONCAT(TBL_Sedes[[#This Row],[Ciudad]]," ",TBL_Sedes[[#This Row],[Nombre de la sede]])</f>
        <v xml:space="preserve">Cartagena Centro Para La Industria Petroquímica</v>
      </c>
      <c r="B105">
        <v>47</v>
      </c>
      <c r="C105">
        <v>92181000</v>
      </c>
      <c r="D105" t="s">
        <v>580</v>
      </c>
      <c r="E105" t="s">
        <v>581</v>
      </c>
      <c r="F105" t="s">
        <v>595</v>
      </c>
      <c r="G105" t="s">
        <v>596</v>
      </c>
      <c r="H105" t="s">
        <v>144</v>
      </c>
      <c r="I105" t="s">
        <v>156</v>
      </c>
      <c r="J105" t="s">
        <v>513</v>
      </c>
      <c r="K105" t="s">
        <v>584</v>
      </c>
      <c r="L105" t="s">
        <v>147</v>
      </c>
      <c r="M105" t="s">
        <v>148</v>
      </c>
      <c r="N105" t="s">
        <v>597</v>
      </c>
      <c r="O105" t="s">
        <v>598</v>
      </c>
      <c r="P105">
        <v>3013730306</v>
      </c>
      <c r="R105" t="s">
        <v>151</v>
      </c>
      <c r="S105" t="s">
        <v>147</v>
      </c>
      <c r="T105" t="s">
        <v>147</v>
      </c>
    </row>
    <row r="106">
      <c r="A106" t="str">
        <f>_xlfn.CONCAT(TBL_Sedes[[#This Row],[Ciudad]]," ",TBL_Sedes[[#This Row],[Nombre de la sede]])</f>
        <v xml:space="preserve">Cartagena Regional Bolívar</v>
      </c>
      <c r="B106">
        <v>44</v>
      </c>
      <c r="C106">
        <v>10101300</v>
      </c>
      <c r="D106" t="s">
        <v>580</v>
      </c>
      <c r="E106" t="s">
        <v>581</v>
      </c>
      <c r="F106" t="s">
        <v>599</v>
      </c>
      <c r="G106" t="s">
        <v>583</v>
      </c>
      <c r="H106" t="s">
        <v>122</v>
      </c>
      <c r="I106" t="s">
        <v>156</v>
      </c>
      <c r="J106" t="s">
        <v>513</v>
      </c>
      <c r="K106" t="s">
        <v>584</v>
      </c>
      <c r="L106" t="s">
        <v>147</v>
      </c>
      <c r="M106" t="s">
        <v>194</v>
      </c>
      <c r="N106" t="s">
        <v>585</v>
      </c>
      <c r="O106" t="s">
        <v>586</v>
      </c>
      <c r="P106" t="s">
        <v>587</v>
      </c>
      <c r="Q106">
        <v>52486</v>
      </c>
    </row>
    <row r="107">
      <c r="A107" t="str">
        <f>_xlfn.CONCAT(TBL_Sedes[[#This Row],[Ciudad]]," ",TBL_Sedes[[#This Row],[Nombre de la sede]])</f>
        <v xml:space="preserve">Cartagena Sede Casa Del Marqués</v>
      </c>
      <c r="B107">
        <v>43</v>
      </c>
      <c r="C107">
        <v>93041001</v>
      </c>
      <c r="D107" t="s">
        <v>580</v>
      </c>
      <c r="E107" t="s">
        <v>581</v>
      </c>
      <c r="F107" t="s">
        <v>600</v>
      </c>
      <c r="G107" t="s">
        <v>601</v>
      </c>
      <c r="H107" t="s">
        <v>173</v>
      </c>
      <c r="I107" t="s">
        <v>174</v>
      </c>
      <c r="J107" t="s">
        <v>157</v>
      </c>
      <c r="K107" t="s">
        <v>584</v>
      </c>
      <c r="L107" t="s">
        <v>147</v>
      </c>
      <c r="M107" t="s">
        <v>148</v>
      </c>
      <c r="N107" t="s">
        <v>585</v>
      </c>
      <c r="O107" t="s">
        <v>586</v>
      </c>
      <c r="P107" t="s">
        <v>587</v>
      </c>
      <c r="Q107">
        <v>52486</v>
      </c>
      <c r="R107" t="s">
        <v>151</v>
      </c>
      <c r="S107" t="s">
        <v>147</v>
      </c>
      <c r="T107" t="s">
        <v>147</v>
      </c>
    </row>
    <row r="108">
      <c r="A108" t="str">
        <f>_xlfn.CONCAT(TBL_Sedes[[#This Row],[Ciudad]]," ",TBL_Sedes[[#This Row],[Nombre de la sede]])</f>
        <v xml:space="preserve">Cartagena Subsede</v>
      </c>
      <c r="B108">
        <v>318</v>
      </c>
      <c r="C108">
        <v>91051050</v>
      </c>
      <c r="D108" t="s">
        <v>580</v>
      </c>
      <c r="E108" t="s">
        <v>581</v>
      </c>
      <c r="F108" t="s">
        <v>465</v>
      </c>
      <c r="G108" t="s">
        <v>602</v>
      </c>
      <c r="H108" t="s">
        <v>217</v>
      </c>
      <c r="I108" t="s">
        <v>174</v>
      </c>
      <c r="J108" t="s">
        <v>259</v>
      </c>
      <c r="K108" t="s">
        <v>147</v>
      </c>
      <c r="L108" t="s">
        <v>147</v>
      </c>
      <c r="M108" t="s">
        <v>148</v>
      </c>
      <c r="N108" t="s">
        <v>592</v>
      </c>
      <c r="O108" t="s">
        <v>593</v>
      </c>
      <c r="P108">
        <v>3008568434</v>
      </c>
      <c r="Q108">
        <v>52730</v>
      </c>
    </row>
    <row r="109">
      <c r="A109" t="str">
        <f>_xlfn.CONCAT(TBL_Sedes[[#This Row],[Ciudad]]," ",TBL_Sedes[[#This Row],[Nombre de la sede]])</f>
        <v xml:space="preserve">Cartago Centro De Tecnologías Agroindustriales</v>
      </c>
      <c r="B109">
        <v>163</v>
      </c>
      <c r="C109">
        <v>95431000</v>
      </c>
      <c r="D109" t="s">
        <v>487</v>
      </c>
      <c r="E109" t="s">
        <v>603</v>
      </c>
      <c r="F109" t="s">
        <v>604</v>
      </c>
      <c r="G109" t="s">
        <v>605</v>
      </c>
      <c r="H109" t="s">
        <v>144</v>
      </c>
      <c r="I109" t="s">
        <v>145</v>
      </c>
      <c r="J109" t="s">
        <v>606</v>
      </c>
      <c r="K109" t="s">
        <v>147</v>
      </c>
      <c r="L109" t="s">
        <v>147</v>
      </c>
      <c r="M109" t="s">
        <v>148</v>
      </c>
      <c r="N109" t="s">
        <v>607</v>
      </c>
      <c r="O109" t="s">
        <v>608</v>
      </c>
      <c r="P109">
        <v>3116304544</v>
      </c>
      <c r="Q109">
        <v>23616</v>
      </c>
      <c r="R109" t="s">
        <v>151</v>
      </c>
      <c r="S109" t="s">
        <v>147</v>
      </c>
      <c r="T109" t="s">
        <v>147</v>
      </c>
    </row>
    <row r="110">
      <c r="A110" t="str">
        <f>_xlfn.CONCAT(TBL_Sedes[[#This Row],[Ciudad]]," ",TBL_Sedes[[#This Row],[Nombre de la sede]])</f>
        <v xml:space="preserve">Caucasia Complejo Tecnológico Para La Gestión Agroempresarial</v>
      </c>
      <c r="B110">
        <v>10</v>
      </c>
      <c r="C110">
        <v>95011000</v>
      </c>
      <c r="D110" t="s">
        <v>152</v>
      </c>
      <c r="E110" t="s">
        <v>609</v>
      </c>
      <c r="F110" t="s">
        <v>610</v>
      </c>
      <c r="G110" t="s">
        <v>611</v>
      </c>
      <c r="H110" t="s">
        <v>144</v>
      </c>
      <c r="I110" t="s">
        <v>145</v>
      </c>
      <c r="J110" t="s">
        <v>234</v>
      </c>
      <c r="K110" t="s">
        <v>200</v>
      </c>
      <c r="L110" t="s">
        <v>147</v>
      </c>
      <c r="M110" t="s">
        <v>148</v>
      </c>
      <c r="N110" t="s">
        <v>612</v>
      </c>
      <c r="O110" t="s">
        <v>613</v>
      </c>
      <c r="P110">
        <v>3053652015</v>
      </c>
      <c r="Q110">
        <v>43660</v>
      </c>
      <c r="R110" t="s">
        <v>151</v>
      </c>
      <c r="S110" t="s">
        <v>147</v>
      </c>
      <c r="T110" t="s">
        <v>147</v>
      </c>
    </row>
    <row r="111">
      <c r="A111" t="str">
        <f>_xlfn.CONCAT(TBL_Sedes[[#This Row],[Ciudad]]," ",TBL_Sedes[[#This Row],[Nombre de la sede]])</f>
        <v xml:space="preserve">Chía Centro De Desarrollo Agroempresarial</v>
      </c>
      <c r="B111">
        <v>90</v>
      </c>
      <c r="C111">
        <v>95131000</v>
      </c>
      <c r="D111" t="s">
        <v>370</v>
      </c>
      <c r="E111" t="s">
        <v>614</v>
      </c>
      <c r="F111" t="s">
        <v>615</v>
      </c>
      <c r="G111" t="s">
        <v>616</v>
      </c>
      <c r="H111" t="s">
        <v>144</v>
      </c>
      <c r="I111" t="s">
        <v>145</v>
      </c>
      <c r="J111" t="s">
        <v>617</v>
      </c>
      <c r="K111" t="s">
        <v>165</v>
      </c>
      <c r="L111" t="s">
        <v>165</v>
      </c>
      <c r="M111" t="s">
        <v>148</v>
      </c>
      <c r="N111" t="s">
        <v>500</v>
      </c>
      <c r="O111" t="s">
        <v>501</v>
      </c>
      <c r="P111" t="s">
        <v>502</v>
      </c>
      <c r="Q111">
        <v>18071</v>
      </c>
      <c r="R111" t="s">
        <v>151</v>
      </c>
      <c r="S111" t="s">
        <v>147</v>
      </c>
      <c r="T111" t="s">
        <v>147</v>
      </c>
    </row>
    <row r="112">
      <c r="A112" t="str">
        <f>_xlfn.CONCAT(TBL_Sedes[[#This Row],[Ciudad]]," ",TBL_Sedes[[#This Row],[Nombre de la sede]])</f>
        <v xml:space="preserve">Chimichagua Sede Chimichagua</v>
      </c>
      <c r="B112">
        <v>282</v>
      </c>
      <c r="C112">
        <v>91141001</v>
      </c>
      <c r="D112" t="s">
        <v>140</v>
      </c>
      <c r="E112" t="s">
        <v>618</v>
      </c>
      <c r="F112" t="s">
        <v>619</v>
      </c>
      <c r="G112" t="s">
        <v>620</v>
      </c>
      <c r="H112" t="s">
        <v>173</v>
      </c>
      <c r="I112" t="s">
        <v>174</v>
      </c>
      <c r="J112" t="s">
        <v>259</v>
      </c>
      <c r="K112" t="s">
        <v>147</v>
      </c>
      <c r="L112" t="s">
        <v>147</v>
      </c>
      <c r="M112" t="s">
        <v>148</v>
      </c>
      <c r="N112" t="s">
        <v>432</v>
      </c>
      <c r="O112" t="s">
        <v>433</v>
      </c>
      <c r="P112">
        <v>3157412119</v>
      </c>
      <c r="Q112">
        <v>52914</v>
      </c>
      <c r="R112" t="s">
        <v>151</v>
      </c>
      <c r="S112" t="s">
        <v>147</v>
      </c>
      <c r="T112" t="s">
        <v>147</v>
      </c>
    </row>
    <row r="113">
      <c r="A113" t="str">
        <f>_xlfn.CONCAT(TBL_Sedes[[#This Row],[Ciudad]]," ",TBL_Sedes[[#This Row],[Nombre de la sede]])</f>
        <v xml:space="preserve">Chinchiná Sede Chinchiná</v>
      </c>
      <c r="B113">
        <v>232</v>
      </c>
      <c r="C113">
        <v>91121001</v>
      </c>
      <c r="D113" t="s">
        <v>503</v>
      </c>
      <c r="E113" t="s">
        <v>621</v>
      </c>
      <c r="F113" t="s">
        <v>622</v>
      </c>
      <c r="G113" t="s">
        <v>623</v>
      </c>
      <c r="H113" t="s">
        <v>173</v>
      </c>
      <c r="I113" t="s">
        <v>174</v>
      </c>
      <c r="J113" t="s">
        <v>513</v>
      </c>
      <c r="K113" t="s">
        <v>147</v>
      </c>
      <c r="L113" t="s">
        <v>147</v>
      </c>
      <c r="M113" t="s">
        <v>148</v>
      </c>
      <c r="N113" t="s">
        <v>624</v>
      </c>
      <c r="O113" t="s">
        <v>625</v>
      </c>
      <c r="P113">
        <v>3117177778</v>
      </c>
      <c r="Q113">
        <v>62111</v>
      </c>
      <c r="R113" t="s">
        <v>380</v>
      </c>
      <c r="S113" t="s">
        <v>147</v>
      </c>
      <c r="T113" t="s">
        <v>147</v>
      </c>
    </row>
    <row r="114">
      <c r="A114" t="str">
        <f>_xlfn.CONCAT(TBL_Sedes[[#This Row],[Ciudad]]," ",TBL_Sedes[[#This Row],[Nombre de la sede]])</f>
        <v xml:space="preserve">Chiquinquirá Sede Chiquinquirá</v>
      </c>
      <c r="B114">
        <v>51</v>
      </c>
      <c r="C114">
        <v>95141001</v>
      </c>
      <c r="D114" t="s">
        <v>626</v>
      </c>
      <c r="E114" t="s">
        <v>627</v>
      </c>
      <c r="F114" t="s">
        <v>628</v>
      </c>
      <c r="G114" t="s">
        <v>629</v>
      </c>
      <c r="H114" t="s">
        <v>173</v>
      </c>
      <c r="I114" t="s">
        <v>174</v>
      </c>
      <c r="J114" t="s">
        <v>259</v>
      </c>
      <c r="K114" t="s">
        <v>147</v>
      </c>
      <c r="L114" t="s">
        <v>147</v>
      </c>
      <c r="M114" t="s">
        <v>148</v>
      </c>
      <c r="N114" t="s">
        <v>630</v>
      </c>
      <c r="O114" t="s">
        <v>631</v>
      </c>
      <c r="P114">
        <v>3158006906</v>
      </c>
      <c r="Q114">
        <v>82200</v>
      </c>
      <c r="R114" t="s">
        <v>151</v>
      </c>
      <c r="S114" t="s">
        <v>147</v>
      </c>
      <c r="T114" t="s">
        <v>147</v>
      </c>
    </row>
    <row r="115">
      <c r="A115" t="str">
        <f>_xlfn.CONCAT(TBL_Sedes[[#This Row],[Ciudad]]," ",TBL_Sedes[[#This Row],[Nombre de la sede]])</f>
        <v xml:space="preserve">Chiriguana Sede Chiriguana</v>
      </c>
      <c r="B115">
        <v>285</v>
      </c>
      <c r="C115">
        <v>91141002</v>
      </c>
      <c r="D115" t="s">
        <v>140</v>
      </c>
      <c r="E115" t="s">
        <v>632</v>
      </c>
      <c r="F115" t="s">
        <v>633</v>
      </c>
      <c r="G115" t="s">
        <v>634</v>
      </c>
      <c r="H115" t="s">
        <v>173</v>
      </c>
      <c r="I115" t="s">
        <v>174</v>
      </c>
      <c r="J115" t="s">
        <v>259</v>
      </c>
      <c r="K115" t="s">
        <v>147</v>
      </c>
      <c r="L115" t="s">
        <v>147</v>
      </c>
      <c r="M115" t="s">
        <v>148</v>
      </c>
      <c r="N115" t="s">
        <v>432</v>
      </c>
      <c r="O115" t="s">
        <v>433</v>
      </c>
      <c r="P115">
        <v>3157412119</v>
      </c>
      <c r="Q115">
        <v>52914</v>
      </c>
      <c r="R115" t="s">
        <v>151</v>
      </c>
      <c r="S115" t="s">
        <v>147</v>
      </c>
      <c r="T115" t="s">
        <v>147</v>
      </c>
    </row>
    <row r="116">
      <c r="A116" t="str">
        <f>_xlfn.CONCAT(TBL_Sedes[[#This Row],[Ciudad]]," ",TBL_Sedes[[#This Row],[Nombre de la sede]])</f>
        <v xml:space="preserve">Ciénaga Ciénaga - Centro De Logística Y Promoción Ecoturística Del Magdalena</v>
      </c>
      <c r="B116">
        <v>186</v>
      </c>
      <c r="C116">
        <v>95291002</v>
      </c>
      <c r="D116" t="s">
        <v>635</v>
      </c>
      <c r="E116" t="s">
        <v>636</v>
      </c>
      <c r="F116" t="s">
        <v>637</v>
      </c>
      <c r="G116" t="s">
        <v>638</v>
      </c>
      <c r="H116" t="s">
        <v>173</v>
      </c>
      <c r="I116" t="s">
        <v>174</v>
      </c>
      <c r="J116" t="s">
        <v>200</v>
      </c>
      <c r="K116" t="s">
        <v>218</v>
      </c>
      <c r="L116" t="s">
        <v>147</v>
      </c>
      <c r="M116" t="s">
        <v>148</v>
      </c>
      <c r="N116" t="s">
        <v>639</v>
      </c>
      <c r="O116" t="s">
        <v>640</v>
      </c>
      <c r="P116">
        <v>3165209569</v>
      </c>
      <c r="Q116">
        <v>54054</v>
      </c>
      <c r="R116" t="s">
        <v>151</v>
      </c>
      <c r="S116" t="s">
        <v>147</v>
      </c>
      <c r="T116" t="s">
        <v>147</v>
      </c>
    </row>
    <row r="117">
      <c r="A117" t="str">
        <f>_xlfn.CONCAT(TBL_Sedes[[#This Row],[Ciudad]]," ",TBL_Sedes[[#This Row],[Nombre de la sede]])</f>
        <v xml:space="preserve">Cimitarra Cimitarra</v>
      </c>
      <c r="B117">
        <v>302</v>
      </c>
      <c r="C117">
        <v>95461002</v>
      </c>
      <c r="D117" t="s">
        <v>230</v>
      </c>
      <c r="E117" t="s">
        <v>641</v>
      </c>
      <c r="F117" t="s">
        <v>641</v>
      </c>
      <c r="G117" t="s">
        <v>642</v>
      </c>
      <c r="H117" t="s">
        <v>173</v>
      </c>
      <c r="I117" t="s">
        <v>174</v>
      </c>
      <c r="J117" t="s">
        <v>278</v>
      </c>
      <c r="K117" t="s">
        <v>147</v>
      </c>
      <c r="L117" t="s">
        <v>147</v>
      </c>
      <c r="M117" t="s">
        <v>148</v>
      </c>
      <c r="N117" t="s">
        <v>643</v>
      </c>
      <c r="O117" t="s">
        <v>644</v>
      </c>
      <c r="P117">
        <v>3112422550</v>
      </c>
      <c r="Q117">
        <v>74157</v>
      </c>
    </row>
    <row r="118">
      <c r="A118" t="str">
        <f>_xlfn.CONCAT(TBL_Sedes[[#This Row],[Ciudad]]," ",TBL_Sedes[[#This Row],[Nombre de la sede]])</f>
        <v xml:space="preserve">Cisneros Sede Cisneros</v>
      </c>
      <c r="B118">
        <v>13</v>
      </c>
      <c r="C118">
        <v>95021001</v>
      </c>
      <c r="D118" t="s">
        <v>152</v>
      </c>
      <c r="E118" t="s">
        <v>645</v>
      </c>
      <c r="F118" t="s">
        <v>646</v>
      </c>
      <c r="G118" t="s">
        <v>647</v>
      </c>
      <c r="H118" t="s">
        <v>173</v>
      </c>
      <c r="I118" t="s">
        <v>174</v>
      </c>
      <c r="J118" t="s">
        <v>165</v>
      </c>
      <c r="K118" t="s">
        <v>147</v>
      </c>
      <c r="L118" t="s">
        <v>147</v>
      </c>
      <c r="M118" t="s">
        <v>148</v>
      </c>
      <c r="N118" t="s">
        <v>648</v>
      </c>
      <c r="O118" t="s">
        <v>649</v>
      </c>
      <c r="P118">
        <v>3216742802</v>
      </c>
      <c r="Q118">
        <v>43800</v>
      </c>
      <c r="R118" t="s">
        <v>380</v>
      </c>
      <c r="S118" t="s">
        <v>147</v>
      </c>
      <c r="T118" t="s">
        <v>147</v>
      </c>
    </row>
    <row r="119">
      <c r="A119" t="str">
        <f>_xlfn.CONCAT(TBL_Sedes[[#This Row],[Ciudad]]," ",TBL_Sedes[[#This Row],[Nombre de la sede]])</f>
        <v xml:space="preserve">Cocorná Sede Cocorná</v>
      </c>
      <c r="B119">
        <v>267</v>
      </c>
      <c r="C119">
        <v>95031007</v>
      </c>
      <c r="D119" t="s">
        <v>152</v>
      </c>
      <c r="E119" t="s">
        <v>650</v>
      </c>
      <c r="F119" t="s">
        <v>651</v>
      </c>
      <c r="G119" t="s">
        <v>652</v>
      </c>
      <c r="H119" t="s">
        <v>173</v>
      </c>
      <c r="I119" t="s">
        <v>174</v>
      </c>
      <c r="J119" t="s">
        <v>653</v>
      </c>
      <c r="K119" t="s">
        <v>147</v>
      </c>
      <c r="L119" t="s">
        <v>147</v>
      </c>
      <c r="M119" t="s">
        <v>148</v>
      </c>
      <c r="N119" t="s">
        <v>654</v>
      </c>
      <c r="O119" t="s">
        <v>655</v>
      </c>
      <c r="P119" t="s">
        <v>656</v>
      </c>
      <c r="Q119">
        <v>44130</v>
      </c>
    </row>
    <row r="120">
      <c r="A120" t="str">
        <f>_xlfn.CONCAT(TBL_Sedes[[#This Row],[Ciudad]]," ",TBL_Sedes[[#This Row],[Nombre de la sede]])</f>
        <v xml:space="preserve">Cogua Subsede </v>
      </c>
      <c r="B120">
        <v>325</v>
      </c>
      <c r="C120">
        <v>95131050</v>
      </c>
      <c r="D120" t="s">
        <v>370</v>
      </c>
      <c r="E120" t="s">
        <v>657</v>
      </c>
      <c r="F120" t="s">
        <v>658</v>
      </c>
      <c r="G120" t="s">
        <v>659</v>
      </c>
      <c r="H120" t="s">
        <v>217</v>
      </c>
      <c r="I120" t="s">
        <v>174</v>
      </c>
      <c r="J120" t="s">
        <v>206</v>
      </c>
      <c r="K120" t="s">
        <v>345</v>
      </c>
      <c r="L120" t="s">
        <v>345</v>
      </c>
      <c r="M120" t="s">
        <v>660</v>
      </c>
      <c r="N120" t="s">
        <v>661</v>
      </c>
      <c r="O120" t="s">
        <v>662</v>
      </c>
      <c r="P120">
        <v>3105591968</v>
      </c>
      <c r="Q120">
        <v>18071</v>
      </c>
    </row>
    <row r="121">
      <c r="A121" t="str">
        <f>_xlfn.CONCAT(TBL_Sedes[[#This Row],[Ciudad]]," ",TBL_Sedes[[#This Row],[Nombre de la sede]])</f>
        <v xml:space="preserve">Corozal Sede Corozal</v>
      </c>
      <c r="B121">
        <v>152</v>
      </c>
      <c r="C121">
        <v>95421002</v>
      </c>
      <c r="D121" t="s">
        <v>663</v>
      </c>
      <c r="E121" t="s">
        <v>664</v>
      </c>
      <c r="F121" t="s">
        <v>665</v>
      </c>
      <c r="G121" t="s">
        <v>666</v>
      </c>
      <c r="H121" t="s">
        <v>173</v>
      </c>
      <c r="I121" t="s">
        <v>174</v>
      </c>
      <c r="J121" t="s">
        <v>193</v>
      </c>
      <c r="K121" t="s">
        <v>147</v>
      </c>
      <c r="L121" t="s">
        <v>147</v>
      </c>
      <c r="M121" t="s">
        <v>148</v>
      </c>
      <c r="N121" t="s">
        <v>667</v>
      </c>
      <c r="O121" t="s">
        <v>668</v>
      </c>
      <c r="P121" t="s">
        <v>669</v>
      </c>
      <c r="Q121">
        <v>54527</v>
      </c>
    </row>
    <row r="122">
      <c r="A122" t="str">
        <f>_xlfn.CONCAT(TBL_Sedes[[#This Row],[Ciudad]]," ",TBL_Sedes[[#This Row],[Nombre de la sede]])</f>
        <v xml:space="preserve">Cúcuta Centro De Formación Para El Desarrollo Rural Y Minero-Cedrum </v>
      </c>
      <c r="B122" t="s">
        <v>670</v>
      </c>
      <c r="C122">
        <v>91191000</v>
      </c>
      <c r="D122" t="s">
        <v>671</v>
      </c>
      <c r="E122" t="s">
        <v>672</v>
      </c>
      <c r="F122" t="s">
        <v>673</v>
      </c>
      <c r="G122" t="s">
        <v>674</v>
      </c>
      <c r="H122" t="s">
        <v>144</v>
      </c>
      <c r="I122" t="s">
        <v>156</v>
      </c>
      <c r="J122" t="s">
        <v>199</v>
      </c>
      <c r="K122" t="s">
        <v>218</v>
      </c>
      <c r="L122" t="s">
        <v>147</v>
      </c>
      <c r="M122" t="s">
        <v>148</v>
      </c>
      <c r="N122" t="s">
        <v>675</v>
      </c>
      <c r="O122" t="s">
        <v>676</v>
      </c>
      <c r="P122">
        <v>3167060186</v>
      </c>
      <c r="Q122">
        <v>72575</v>
      </c>
      <c r="R122" t="s">
        <v>151</v>
      </c>
      <c r="S122" t="s">
        <v>147</v>
      </c>
      <c r="T122" t="s">
        <v>147</v>
      </c>
    </row>
    <row r="123">
      <c r="A123" t="str">
        <f>_xlfn.CONCAT(TBL_Sedes[[#This Row],[Ciudad]]," ",TBL_Sedes[[#This Row],[Nombre de la sede]])</f>
        <v xml:space="preserve">Cúcuta Centro De La Industria, La Empresa Y Los Servicios</v>
      </c>
      <c r="B123" t="s">
        <v>677</v>
      </c>
      <c r="C123">
        <v>95371000</v>
      </c>
      <c r="D123" t="s">
        <v>671</v>
      </c>
      <c r="E123" t="s">
        <v>672</v>
      </c>
      <c r="F123" t="s">
        <v>678</v>
      </c>
      <c r="G123" t="s">
        <v>674</v>
      </c>
      <c r="H123" t="s">
        <v>144</v>
      </c>
      <c r="I123" t="s">
        <v>156</v>
      </c>
      <c r="J123" t="s">
        <v>199</v>
      </c>
      <c r="K123" t="s">
        <v>218</v>
      </c>
      <c r="L123" t="s">
        <v>147</v>
      </c>
      <c r="M123" t="s">
        <v>148</v>
      </c>
      <c r="N123" t="s">
        <v>675</v>
      </c>
      <c r="O123" t="s">
        <v>676</v>
      </c>
      <c r="P123">
        <v>3167060186</v>
      </c>
      <c r="Q123">
        <v>72575</v>
      </c>
      <c r="R123" t="s">
        <v>151</v>
      </c>
      <c r="S123" t="s">
        <v>147</v>
      </c>
      <c r="T123" t="s">
        <v>147</v>
      </c>
    </row>
    <row r="124">
      <c r="A124" t="str">
        <f>_xlfn.CONCAT(TBL_Sedes[[#This Row],[Ciudad]]," ",TBL_Sedes[[#This Row],[Nombre de la sede]])</f>
        <v xml:space="preserve">Cúcuta Regional Norte De Santander</v>
      </c>
      <c r="B124">
        <v>127</v>
      </c>
      <c r="C124">
        <v>10105400</v>
      </c>
      <c r="D124" t="s">
        <v>671</v>
      </c>
      <c r="E124" t="s">
        <v>672</v>
      </c>
      <c r="F124" t="s">
        <v>679</v>
      </c>
      <c r="G124" t="s">
        <v>674</v>
      </c>
      <c r="H124" t="s">
        <v>122</v>
      </c>
      <c r="I124" t="s">
        <v>156</v>
      </c>
      <c r="J124" t="s">
        <v>199</v>
      </c>
      <c r="K124" t="s">
        <v>218</v>
      </c>
      <c r="L124" t="s">
        <v>147</v>
      </c>
      <c r="M124" t="s">
        <v>148</v>
      </c>
      <c r="N124" t="s">
        <v>675</v>
      </c>
      <c r="O124" t="s">
        <v>676</v>
      </c>
      <c r="P124">
        <v>3167060186</v>
      </c>
      <c r="Q124">
        <v>72575</v>
      </c>
      <c r="R124" t="s">
        <v>151</v>
      </c>
      <c r="S124" t="s">
        <v>147</v>
      </c>
      <c r="T124" t="s">
        <v>147</v>
      </c>
    </row>
    <row r="125">
      <c r="A125" t="str">
        <f>_xlfn.CONCAT(TBL_Sedes[[#This Row],[Ciudad]]," ",TBL_Sedes[[#This Row],[Nombre de la sede]])</f>
        <v xml:space="preserve">Cúcuta Regional Norte De Santander - Bloque Formación Pescadero</v>
      </c>
      <c r="B125">
        <v>277</v>
      </c>
      <c r="C125">
        <v>10105402</v>
      </c>
      <c r="D125" t="s">
        <v>671</v>
      </c>
      <c r="E125" t="s">
        <v>672</v>
      </c>
      <c r="F125" t="s">
        <v>680</v>
      </c>
      <c r="G125" t="s">
        <v>681</v>
      </c>
      <c r="H125" t="s">
        <v>173</v>
      </c>
      <c r="I125" t="s">
        <v>145</v>
      </c>
      <c r="J125" t="s">
        <v>199</v>
      </c>
      <c r="K125" t="s">
        <v>218</v>
      </c>
      <c r="L125" t="s">
        <v>147</v>
      </c>
      <c r="M125" t="s">
        <v>148</v>
      </c>
      <c r="N125" t="s">
        <v>675</v>
      </c>
      <c r="O125" t="s">
        <v>676</v>
      </c>
      <c r="P125">
        <v>3167060186</v>
      </c>
      <c r="Q125">
        <v>72575</v>
      </c>
      <c r="R125" t="s">
        <v>151</v>
      </c>
      <c r="S125" t="s">
        <v>147</v>
      </c>
      <c r="T125" t="s">
        <v>147</v>
      </c>
    </row>
    <row r="126">
      <c r="A126" t="str">
        <f>_xlfn.CONCAT(TBL_Sedes[[#This Row],[Ciudad]]," ",TBL_Sedes[[#This Row],[Nombre de la sede]])</f>
        <v xml:space="preserve">Cúcuta Sede Centro De Calzado</v>
      </c>
      <c r="B126">
        <v>130</v>
      </c>
      <c r="C126">
        <v>95371003</v>
      </c>
      <c r="D126" t="s">
        <v>671</v>
      </c>
      <c r="E126" t="s">
        <v>672</v>
      </c>
      <c r="F126" t="s">
        <v>682</v>
      </c>
      <c r="G126" t="s">
        <v>683</v>
      </c>
      <c r="H126" t="s">
        <v>173</v>
      </c>
      <c r="I126" t="s">
        <v>174</v>
      </c>
      <c r="J126" t="s">
        <v>199</v>
      </c>
      <c r="K126" t="s">
        <v>218</v>
      </c>
      <c r="L126" t="s">
        <v>147</v>
      </c>
      <c r="M126" t="s">
        <v>148</v>
      </c>
      <c r="N126" t="s">
        <v>675</v>
      </c>
      <c r="O126" t="s">
        <v>676</v>
      </c>
      <c r="P126">
        <v>3167060186</v>
      </c>
      <c r="Q126">
        <v>72575</v>
      </c>
    </row>
    <row r="127">
      <c r="A127" t="str">
        <f>_xlfn.CONCAT(TBL_Sedes[[#This Row],[Ciudad]]," ",TBL_Sedes[[#This Row],[Nombre de la sede]])</f>
        <v xml:space="preserve">Cúcuta Sede Confecciones Y Madera - Comuneros</v>
      </c>
      <c r="B127">
        <v>279</v>
      </c>
      <c r="C127">
        <v>95371006</v>
      </c>
      <c r="D127" t="s">
        <v>671</v>
      </c>
      <c r="E127" t="s">
        <v>672</v>
      </c>
      <c r="F127" t="s">
        <v>684</v>
      </c>
      <c r="G127" t="s">
        <v>685</v>
      </c>
      <c r="H127" t="s">
        <v>173</v>
      </c>
      <c r="I127" t="s">
        <v>145</v>
      </c>
      <c r="J127" t="s">
        <v>199</v>
      </c>
      <c r="K127" t="s">
        <v>218</v>
      </c>
      <c r="L127" t="s">
        <v>147</v>
      </c>
      <c r="M127" t="s">
        <v>148</v>
      </c>
      <c r="N127" t="s">
        <v>675</v>
      </c>
      <c r="O127" t="s">
        <v>676</v>
      </c>
      <c r="P127">
        <v>3167060186</v>
      </c>
      <c r="Q127">
        <v>72575</v>
      </c>
    </row>
    <row r="128">
      <c r="A128" t="str">
        <f>_xlfn.CONCAT(TBL_Sedes[[#This Row],[Ciudad]]," ",TBL_Sedes[[#This Row],[Nombre de la sede]])</f>
        <v xml:space="preserve">Cúcuta Subsede Agropecuaria El Zulia</v>
      </c>
      <c r="B128">
        <v>348</v>
      </c>
      <c r="C128">
        <v>91191003</v>
      </c>
      <c r="D128" t="s">
        <v>686</v>
      </c>
      <c r="E128" t="s">
        <v>672</v>
      </c>
      <c r="F128" t="s">
        <v>687</v>
      </c>
      <c r="G128" t="s">
        <v>688</v>
      </c>
      <c r="H128" t="s">
        <v>224</v>
      </c>
      <c r="I128" t="s">
        <v>174</v>
      </c>
      <c r="J128" t="s">
        <v>689</v>
      </c>
      <c r="K128" t="s">
        <v>147</v>
      </c>
      <c r="L128" t="s">
        <v>147</v>
      </c>
      <c r="M128" t="s">
        <v>227</v>
      </c>
      <c r="N128" t="s">
        <v>675</v>
      </c>
      <c r="O128" t="s">
        <v>676</v>
      </c>
      <c r="P128">
        <v>3167060186</v>
      </c>
      <c r="Q128" t="s">
        <v>690</v>
      </c>
    </row>
    <row r="129">
      <c r="A129" t="str">
        <f>_xlfn.CONCAT(TBL_Sedes[[#This Row],[Ciudad]]," ",TBL_Sedes[[#This Row],[Nombre de la sede]])</f>
        <v xml:space="preserve">Cúcuta Tecnoparque Y Tecnoacademia Cúcuta</v>
      </c>
      <c r="B129">
        <v>301</v>
      </c>
      <c r="C129">
        <v>91191002</v>
      </c>
      <c r="D129" t="s">
        <v>671</v>
      </c>
      <c r="E129" t="s">
        <v>672</v>
      </c>
      <c r="F129" t="s">
        <v>691</v>
      </c>
      <c r="G129" t="s">
        <v>692</v>
      </c>
      <c r="H129" t="s">
        <v>173</v>
      </c>
      <c r="I129" t="s">
        <v>145</v>
      </c>
      <c r="J129" t="s">
        <v>199</v>
      </c>
      <c r="K129" t="s">
        <v>218</v>
      </c>
      <c r="L129" t="s">
        <v>147</v>
      </c>
      <c r="M129" t="s">
        <v>148</v>
      </c>
      <c r="N129" t="s">
        <v>675</v>
      </c>
      <c r="O129" t="s">
        <v>676</v>
      </c>
      <c r="P129">
        <v>3167060186</v>
      </c>
      <c r="Q129">
        <v>72575</v>
      </c>
      <c r="R129" t="s">
        <v>151</v>
      </c>
      <c r="S129" t="s">
        <v>147</v>
      </c>
      <c r="T129" t="s">
        <v>147</v>
      </c>
    </row>
    <row r="130">
      <c r="A130" t="str">
        <f>_xlfn.CONCAT(TBL_Sedes[[#This Row],[Ciudad]]," ",TBL_Sedes[[#This Row],[Nombre de la sede]])</f>
        <v xml:space="preserve">Cumaribo Aula Itinerante - Cumaribo</v>
      </c>
      <c r="B130">
        <v>238</v>
      </c>
      <c r="C130">
        <v>95311001</v>
      </c>
      <c r="D130" t="s">
        <v>693</v>
      </c>
      <c r="E130" t="s">
        <v>694</v>
      </c>
      <c r="F130" t="s">
        <v>695</v>
      </c>
      <c r="G130" t="s">
        <v>696</v>
      </c>
      <c r="H130" t="s">
        <v>173</v>
      </c>
      <c r="I130" t="s">
        <v>174</v>
      </c>
      <c r="J130" t="s">
        <v>147</v>
      </c>
      <c r="K130" t="s">
        <v>147</v>
      </c>
      <c r="L130" t="s">
        <v>147</v>
      </c>
      <c r="M130" t="s">
        <v>360</v>
      </c>
      <c r="N130" t="s">
        <v>697</v>
      </c>
      <c r="O130" t="s">
        <v>698</v>
      </c>
      <c r="P130" t="s">
        <v>699</v>
      </c>
      <c r="Q130">
        <v>85477</v>
      </c>
    </row>
    <row r="131">
      <c r="A131" t="str">
        <f>_xlfn.CONCAT(TBL_Sedes[[#This Row],[Ciudad]]," ",TBL_Sedes[[#This Row],[Nombre de la sede]])</f>
        <v xml:space="preserve">Curumaní Sede Curumani</v>
      </c>
      <c r="B131">
        <v>281</v>
      </c>
      <c r="C131">
        <v>95201001</v>
      </c>
      <c r="D131" t="s">
        <v>140</v>
      </c>
      <c r="E131" t="s">
        <v>700</v>
      </c>
      <c r="F131" t="s">
        <v>701</v>
      </c>
      <c r="G131" t="s">
        <v>702</v>
      </c>
      <c r="H131" t="s">
        <v>173</v>
      </c>
      <c r="I131" t="s">
        <v>174</v>
      </c>
      <c r="J131" t="s">
        <v>259</v>
      </c>
      <c r="K131" t="s">
        <v>147</v>
      </c>
      <c r="L131" t="s">
        <v>147</v>
      </c>
      <c r="M131" t="s">
        <v>148</v>
      </c>
      <c r="N131" t="s">
        <v>149</v>
      </c>
      <c r="O131" t="s">
        <v>150</v>
      </c>
      <c r="P131">
        <v>3158722597</v>
      </c>
      <c r="Q131">
        <v>53280</v>
      </c>
    </row>
    <row r="132">
      <c r="A132" s="14" t="s">
        <v>703</v>
      </c>
      <c r="B132">
        <v>1</v>
      </c>
      <c r="C132">
        <v>10100100</v>
      </c>
      <c r="D132" t="s">
        <v>357</v>
      </c>
      <c r="E132" t="s">
        <v>287</v>
      </c>
      <c r="F132" t="s">
        <v>357</v>
      </c>
      <c r="G132" t="s">
        <v>704</v>
      </c>
      <c r="H132" t="s">
        <v>125</v>
      </c>
      <c r="I132" t="s">
        <v>156</v>
      </c>
      <c r="J132" t="s">
        <v>705</v>
      </c>
      <c r="K132" t="s">
        <v>147</v>
      </c>
      <c r="L132" t="s">
        <v>147</v>
      </c>
      <c r="M132" t="s">
        <v>148</v>
      </c>
      <c r="N132" t="s">
        <v>361</v>
      </c>
      <c r="O132" t="s">
        <v>362</v>
      </c>
      <c r="P132" t="s">
        <v>389</v>
      </c>
      <c r="Q132">
        <v>12139</v>
      </c>
      <c r="R132" t="s">
        <v>151</v>
      </c>
      <c r="S132" t="s">
        <v>147</v>
      </c>
      <c r="T132" t="s">
        <v>147</v>
      </c>
    </row>
    <row r="133">
      <c r="A133" s="14" t="s">
        <v>706</v>
      </c>
      <c r="B133">
        <v>1</v>
      </c>
      <c r="C133">
        <v>10100100</v>
      </c>
      <c r="D133" t="s">
        <v>357</v>
      </c>
      <c r="E133" t="s">
        <v>287</v>
      </c>
      <c r="F133" t="s">
        <v>357</v>
      </c>
      <c r="G133" t="s">
        <v>704</v>
      </c>
      <c r="H133" t="s">
        <v>125</v>
      </c>
      <c r="I133" t="s">
        <v>156</v>
      </c>
      <c r="J133" t="s">
        <v>705</v>
      </c>
      <c r="K133" t="s">
        <v>147</v>
      </c>
      <c r="L133" t="s">
        <v>147</v>
      </c>
      <c r="M133" t="s">
        <v>148</v>
      </c>
      <c r="N133" t="s">
        <v>361</v>
      </c>
      <c r="O133" t="s">
        <v>362</v>
      </c>
      <c r="P133" t="s">
        <v>389</v>
      </c>
      <c r="Q133">
        <v>12139</v>
      </c>
      <c r="R133" t="s">
        <v>151</v>
      </c>
      <c r="S133" t="s">
        <v>147</v>
      </c>
      <c r="T133" t="s">
        <v>147</v>
      </c>
    </row>
    <row r="134">
      <c r="A134" s="14" t="s">
        <v>707</v>
      </c>
      <c r="B134">
        <v>1</v>
      </c>
      <c r="C134">
        <v>10100100</v>
      </c>
      <c r="D134" t="s">
        <v>357</v>
      </c>
      <c r="E134" t="s">
        <v>287</v>
      </c>
      <c r="F134" t="s">
        <v>357</v>
      </c>
      <c r="G134" t="s">
        <v>704</v>
      </c>
      <c r="H134" t="s">
        <v>125</v>
      </c>
      <c r="I134" t="s">
        <v>156</v>
      </c>
      <c r="J134" t="s">
        <v>705</v>
      </c>
      <c r="K134" t="s">
        <v>147</v>
      </c>
      <c r="L134" t="s">
        <v>147</v>
      </c>
      <c r="M134" t="s">
        <v>148</v>
      </c>
      <c r="N134" t="s">
        <v>361</v>
      </c>
      <c r="O134" t="s">
        <v>362</v>
      </c>
      <c r="P134" t="s">
        <v>389</v>
      </c>
      <c r="Q134">
        <v>12139</v>
      </c>
      <c r="R134" t="s">
        <v>151</v>
      </c>
      <c r="S134" t="s">
        <v>147</v>
      </c>
      <c r="T134" t="s">
        <v>147</v>
      </c>
    </row>
    <row r="135">
      <c r="A135" s="14" t="s">
        <v>708</v>
      </c>
      <c r="B135">
        <v>1</v>
      </c>
      <c r="C135">
        <v>10100100</v>
      </c>
      <c r="D135" t="s">
        <v>357</v>
      </c>
      <c r="E135" t="s">
        <v>287</v>
      </c>
      <c r="F135" t="s">
        <v>357</v>
      </c>
      <c r="G135" t="s">
        <v>704</v>
      </c>
      <c r="H135" t="s">
        <v>125</v>
      </c>
      <c r="I135" t="s">
        <v>156</v>
      </c>
      <c r="J135" t="s">
        <v>705</v>
      </c>
      <c r="K135" t="s">
        <v>147</v>
      </c>
      <c r="L135" t="s">
        <v>147</v>
      </c>
      <c r="M135" t="s">
        <v>148</v>
      </c>
      <c r="N135" t="s">
        <v>361</v>
      </c>
      <c r="O135" t="s">
        <v>362</v>
      </c>
      <c r="P135" t="s">
        <v>389</v>
      </c>
      <c r="Q135">
        <v>12139</v>
      </c>
      <c r="R135" t="s">
        <v>151</v>
      </c>
      <c r="S135" t="s">
        <v>147</v>
      </c>
      <c r="T135" t="s">
        <v>147</v>
      </c>
    </row>
    <row r="136">
      <c r="A136" s="14" t="s">
        <v>709</v>
      </c>
      <c r="B136">
        <v>1</v>
      </c>
      <c r="C136">
        <v>10100100</v>
      </c>
      <c r="D136" t="s">
        <v>357</v>
      </c>
      <c r="E136" t="s">
        <v>287</v>
      </c>
      <c r="F136" t="s">
        <v>357</v>
      </c>
      <c r="G136" t="s">
        <v>704</v>
      </c>
      <c r="H136" t="s">
        <v>125</v>
      </c>
      <c r="I136" t="s">
        <v>156</v>
      </c>
      <c r="J136" t="s">
        <v>705</v>
      </c>
      <c r="K136" t="s">
        <v>147</v>
      </c>
      <c r="L136" t="s">
        <v>147</v>
      </c>
      <c r="M136" t="s">
        <v>148</v>
      </c>
      <c r="N136" t="s">
        <v>361</v>
      </c>
      <c r="O136" t="s">
        <v>362</v>
      </c>
      <c r="P136" t="s">
        <v>389</v>
      </c>
      <c r="Q136">
        <v>12139</v>
      </c>
      <c r="R136" t="s">
        <v>151</v>
      </c>
      <c r="S136" t="s">
        <v>147</v>
      </c>
      <c r="T136" t="s">
        <v>147</v>
      </c>
    </row>
    <row r="137">
      <c r="A137" s="14" t="s">
        <v>710</v>
      </c>
      <c r="B137">
        <v>1</v>
      </c>
      <c r="C137">
        <v>10100100</v>
      </c>
      <c r="D137" t="s">
        <v>357</v>
      </c>
      <c r="E137" t="s">
        <v>287</v>
      </c>
      <c r="F137" t="s">
        <v>357</v>
      </c>
      <c r="G137" t="s">
        <v>704</v>
      </c>
      <c r="H137" t="s">
        <v>125</v>
      </c>
      <c r="I137" t="s">
        <v>156</v>
      </c>
      <c r="J137" t="s">
        <v>705</v>
      </c>
      <c r="K137" t="s">
        <v>147</v>
      </c>
      <c r="L137" t="s">
        <v>147</v>
      </c>
      <c r="M137" t="s">
        <v>148</v>
      </c>
      <c r="N137" t="s">
        <v>361</v>
      </c>
      <c r="O137" t="s">
        <v>362</v>
      </c>
      <c r="P137" t="s">
        <v>389</v>
      </c>
      <c r="Q137">
        <v>12139</v>
      </c>
      <c r="R137" t="s">
        <v>151</v>
      </c>
      <c r="S137" t="s">
        <v>147</v>
      </c>
      <c r="T137" t="s">
        <v>147</v>
      </c>
    </row>
    <row r="138">
      <c r="A138" s="14" t="s">
        <v>711</v>
      </c>
      <c r="B138">
        <v>1</v>
      </c>
      <c r="C138">
        <v>10100100</v>
      </c>
      <c r="D138" t="s">
        <v>357</v>
      </c>
      <c r="E138" t="s">
        <v>287</v>
      </c>
      <c r="F138" t="s">
        <v>357</v>
      </c>
      <c r="G138" t="s">
        <v>704</v>
      </c>
      <c r="H138" t="s">
        <v>125</v>
      </c>
      <c r="I138" t="s">
        <v>156</v>
      </c>
      <c r="J138" t="s">
        <v>705</v>
      </c>
      <c r="K138" t="s">
        <v>147</v>
      </c>
      <c r="L138" t="s">
        <v>147</v>
      </c>
      <c r="M138" t="s">
        <v>148</v>
      </c>
      <c r="N138" t="s">
        <v>361</v>
      </c>
      <c r="O138" t="s">
        <v>362</v>
      </c>
      <c r="P138" t="s">
        <v>389</v>
      </c>
      <c r="Q138">
        <v>12139</v>
      </c>
      <c r="R138" t="s">
        <v>151</v>
      </c>
      <c r="S138" t="s">
        <v>147</v>
      </c>
      <c r="T138" t="s">
        <v>147</v>
      </c>
    </row>
    <row r="139">
      <c r="A139" s="14" t="s">
        <v>712</v>
      </c>
      <c r="B139">
        <v>1</v>
      </c>
      <c r="C139">
        <v>10100100</v>
      </c>
      <c r="D139" t="s">
        <v>357</v>
      </c>
      <c r="E139" t="s">
        <v>287</v>
      </c>
      <c r="F139" t="s">
        <v>357</v>
      </c>
      <c r="G139" t="s">
        <v>704</v>
      </c>
      <c r="H139" t="s">
        <v>125</v>
      </c>
      <c r="I139" t="s">
        <v>156</v>
      </c>
      <c r="J139" t="s">
        <v>705</v>
      </c>
      <c r="K139" t="s">
        <v>147</v>
      </c>
      <c r="L139" t="s">
        <v>147</v>
      </c>
      <c r="M139" t="s">
        <v>148</v>
      </c>
      <c r="N139" t="s">
        <v>361</v>
      </c>
      <c r="O139" t="s">
        <v>362</v>
      </c>
      <c r="P139" t="s">
        <v>389</v>
      </c>
      <c r="Q139">
        <v>12139</v>
      </c>
      <c r="R139" t="s">
        <v>151</v>
      </c>
      <c r="S139" t="s">
        <v>147</v>
      </c>
      <c r="T139" t="s">
        <v>147</v>
      </c>
    </row>
    <row r="140">
      <c r="A140" s="14" t="s">
        <v>713</v>
      </c>
      <c r="B140">
        <v>1</v>
      </c>
      <c r="C140">
        <v>10100100</v>
      </c>
      <c r="D140" t="s">
        <v>357</v>
      </c>
      <c r="E140" t="s">
        <v>287</v>
      </c>
      <c r="F140" t="s">
        <v>357</v>
      </c>
      <c r="G140" t="s">
        <v>704</v>
      </c>
      <c r="H140" t="s">
        <v>125</v>
      </c>
      <c r="I140" t="s">
        <v>156</v>
      </c>
      <c r="J140" t="s">
        <v>705</v>
      </c>
      <c r="K140" t="s">
        <v>147</v>
      </c>
      <c r="L140" t="s">
        <v>147</v>
      </c>
      <c r="M140" t="s">
        <v>148</v>
      </c>
      <c r="N140" t="s">
        <v>361</v>
      </c>
      <c r="O140" t="s">
        <v>362</v>
      </c>
      <c r="P140" t="s">
        <v>389</v>
      </c>
      <c r="Q140">
        <v>12139</v>
      </c>
      <c r="R140" t="s">
        <v>151</v>
      </c>
      <c r="S140" t="s">
        <v>147</v>
      </c>
      <c r="T140" t="s">
        <v>147</v>
      </c>
    </row>
    <row r="141">
      <c r="A141" s="14" t="s">
        <v>714</v>
      </c>
      <c r="B141">
        <v>1</v>
      </c>
      <c r="C141">
        <v>10100100</v>
      </c>
      <c r="D141" t="s">
        <v>357</v>
      </c>
      <c r="E141" t="s">
        <v>287</v>
      </c>
      <c r="F141" t="s">
        <v>357</v>
      </c>
      <c r="G141" t="s">
        <v>704</v>
      </c>
      <c r="H141" t="s">
        <v>125</v>
      </c>
      <c r="I141" t="s">
        <v>156</v>
      </c>
      <c r="J141" t="s">
        <v>705</v>
      </c>
      <c r="K141" t="s">
        <v>147</v>
      </c>
      <c r="L141" t="s">
        <v>147</v>
      </c>
      <c r="M141" t="s">
        <v>148</v>
      </c>
      <c r="N141" t="s">
        <v>361</v>
      </c>
      <c r="O141" t="s">
        <v>362</v>
      </c>
      <c r="P141" t="s">
        <v>389</v>
      </c>
      <c r="Q141">
        <v>12139</v>
      </c>
      <c r="R141" t="s">
        <v>151</v>
      </c>
      <c r="S141" t="s">
        <v>147</v>
      </c>
      <c r="T141" t="s">
        <v>147</v>
      </c>
    </row>
    <row r="142">
      <c r="A142" s="14" t="s">
        <v>715</v>
      </c>
      <c r="B142">
        <v>1</v>
      </c>
      <c r="C142">
        <v>10100100</v>
      </c>
      <c r="D142" t="s">
        <v>357</v>
      </c>
      <c r="E142" t="s">
        <v>287</v>
      </c>
      <c r="F142" t="s">
        <v>357</v>
      </c>
      <c r="G142" t="s">
        <v>704</v>
      </c>
      <c r="H142" t="s">
        <v>125</v>
      </c>
      <c r="I142" t="s">
        <v>156</v>
      </c>
      <c r="J142" t="s">
        <v>705</v>
      </c>
      <c r="K142" t="s">
        <v>147</v>
      </c>
      <c r="L142" t="s">
        <v>147</v>
      </c>
      <c r="M142" t="s">
        <v>148</v>
      </c>
      <c r="N142" t="s">
        <v>361</v>
      </c>
      <c r="O142" t="s">
        <v>362</v>
      </c>
      <c r="P142" t="s">
        <v>389</v>
      </c>
      <c r="Q142">
        <v>12139</v>
      </c>
      <c r="R142" t="s">
        <v>151</v>
      </c>
      <c r="S142" t="s">
        <v>147</v>
      </c>
      <c r="T142" t="s">
        <v>147</v>
      </c>
    </row>
    <row r="143">
      <c r="A143" s="14" t="s">
        <v>716</v>
      </c>
      <c r="B143">
        <v>1</v>
      </c>
      <c r="C143">
        <v>10100100</v>
      </c>
      <c r="D143" t="s">
        <v>357</v>
      </c>
      <c r="E143" t="s">
        <v>287</v>
      </c>
      <c r="F143" t="s">
        <v>357</v>
      </c>
      <c r="G143" t="s">
        <v>704</v>
      </c>
      <c r="H143" t="s">
        <v>125</v>
      </c>
      <c r="I143" t="s">
        <v>156</v>
      </c>
      <c r="J143" t="s">
        <v>705</v>
      </c>
      <c r="K143" t="s">
        <v>147</v>
      </c>
      <c r="L143" t="s">
        <v>147</v>
      </c>
      <c r="M143" t="s">
        <v>148</v>
      </c>
      <c r="N143" t="s">
        <v>361</v>
      </c>
      <c r="O143" t="s">
        <v>362</v>
      </c>
      <c r="P143" t="s">
        <v>389</v>
      </c>
      <c r="Q143">
        <v>12139</v>
      </c>
      <c r="R143" t="s">
        <v>151</v>
      </c>
      <c r="S143" t="s">
        <v>147</v>
      </c>
      <c r="T143" t="s">
        <v>147</v>
      </c>
    </row>
    <row r="144">
      <c r="A144" s="14" t="s">
        <v>717</v>
      </c>
      <c r="B144">
        <v>1</v>
      </c>
      <c r="C144">
        <v>10100100</v>
      </c>
      <c r="D144" t="s">
        <v>357</v>
      </c>
      <c r="E144" t="s">
        <v>287</v>
      </c>
      <c r="F144" t="s">
        <v>357</v>
      </c>
      <c r="G144" t="s">
        <v>704</v>
      </c>
      <c r="H144" t="s">
        <v>125</v>
      </c>
      <c r="I144" t="s">
        <v>156</v>
      </c>
      <c r="J144" t="s">
        <v>705</v>
      </c>
      <c r="K144" t="s">
        <v>147</v>
      </c>
      <c r="L144" t="s">
        <v>147</v>
      </c>
      <c r="M144" t="s">
        <v>148</v>
      </c>
      <c r="N144" t="s">
        <v>361</v>
      </c>
      <c r="O144" t="s">
        <v>362</v>
      </c>
      <c r="P144" t="s">
        <v>389</v>
      </c>
      <c r="Q144">
        <v>12139</v>
      </c>
      <c r="R144" t="s">
        <v>151</v>
      </c>
      <c r="S144" t="s">
        <v>147</v>
      </c>
      <c r="T144" t="s">
        <v>147</v>
      </c>
    </row>
    <row r="145">
      <c r="A145" t="str">
        <f>_xlfn.CONCAT(TBL_Sedes[[#This Row],[Ciudad]]," ",TBL_Sedes[[#This Row],[Nombre de la sede]])</f>
        <v xml:space="preserve">Dos Quebradas Centro De Diseño E Innovación Tecnológica Industrial</v>
      </c>
      <c r="B145">
        <v>136</v>
      </c>
      <c r="C145">
        <v>92231000</v>
      </c>
      <c r="D145" t="s">
        <v>718</v>
      </c>
      <c r="E145" t="s">
        <v>719</v>
      </c>
      <c r="F145" t="s">
        <v>720</v>
      </c>
      <c r="G145" t="s">
        <v>721</v>
      </c>
      <c r="H145" t="s">
        <v>144</v>
      </c>
      <c r="I145" t="s">
        <v>156</v>
      </c>
      <c r="J145" t="s">
        <v>199</v>
      </c>
      <c r="K145" t="s">
        <v>455</v>
      </c>
      <c r="L145" t="s">
        <v>147</v>
      </c>
      <c r="M145" t="s">
        <v>148</v>
      </c>
      <c r="N145" t="s">
        <v>722</v>
      </c>
      <c r="O145" t="s">
        <v>723</v>
      </c>
      <c r="P145">
        <v>3128311693</v>
      </c>
      <c r="Q145">
        <v>63382</v>
      </c>
      <c r="R145" t="s">
        <v>151</v>
      </c>
      <c r="S145" t="s">
        <v>147</v>
      </c>
      <c r="T145" t="s">
        <v>147</v>
      </c>
    </row>
    <row r="146">
      <c r="A146" t="str">
        <f>_xlfn.CONCAT(TBL_Sedes[[#This Row],[Ciudad]]," ",TBL_Sedes[[#This Row],[Nombre de la sede]])</f>
        <v xml:space="preserve">Dos Quebradas Tecnoacademia Dosquebradas</v>
      </c>
      <c r="B146">
        <v>194</v>
      </c>
      <c r="C146">
        <v>93081001</v>
      </c>
      <c r="D146" t="s">
        <v>718</v>
      </c>
      <c r="E146" t="s">
        <v>719</v>
      </c>
      <c r="F146" t="s">
        <v>724</v>
      </c>
      <c r="G146" t="s">
        <v>725</v>
      </c>
      <c r="H146" t="s">
        <v>173</v>
      </c>
      <c r="I146" t="s">
        <v>174</v>
      </c>
      <c r="J146" t="s">
        <v>464</v>
      </c>
      <c r="K146" t="s">
        <v>147</v>
      </c>
      <c r="L146" t="s">
        <v>147</v>
      </c>
      <c r="M146" t="s">
        <v>148</v>
      </c>
      <c r="N146" t="s">
        <v>726</v>
      </c>
      <c r="O146" t="s">
        <v>727</v>
      </c>
      <c r="P146">
        <v>3148223458</v>
      </c>
      <c r="Q146">
        <v>63130</v>
      </c>
    </row>
    <row r="147">
      <c r="A147" t="str">
        <f>_xlfn.CONCAT(TBL_Sedes[[#This Row],[Ciudad]]," ",TBL_Sedes[[#This Row],[Nombre de la sede]])</f>
        <v xml:space="preserve">Duitama Centro De Desarrollo Agropecuario Y Agroindustrial</v>
      </c>
      <c r="B147">
        <v>54</v>
      </c>
      <c r="C147">
        <v>91101000</v>
      </c>
      <c r="D147" t="s">
        <v>626</v>
      </c>
      <c r="E147" t="s">
        <v>728</v>
      </c>
      <c r="F147" t="s">
        <v>729</v>
      </c>
      <c r="G147" t="s">
        <v>730</v>
      </c>
      <c r="H147" t="s">
        <v>144</v>
      </c>
      <c r="I147" t="s">
        <v>145</v>
      </c>
      <c r="J147" t="s">
        <v>731</v>
      </c>
      <c r="K147" t="s">
        <v>147</v>
      </c>
      <c r="L147" t="s">
        <v>147</v>
      </c>
      <c r="M147" t="s">
        <v>148</v>
      </c>
      <c r="N147" t="s">
        <v>732</v>
      </c>
      <c r="O147" t="s">
        <v>733</v>
      </c>
      <c r="P147">
        <v>3175568090</v>
      </c>
      <c r="Q147">
        <v>82363</v>
      </c>
      <c r="R147" t="s">
        <v>151</v>
      </c>
      <c r="S147" t="s">
        <v>147</v>
      </c>
      <c r="T147" t="s">
        <v>147</v>
      </c>
    </row>
    <row r="148">
      <c r="A148" t="str">
        <f>_xlfn.CONCAT(TBL_Sedes[[#This Row],[Ciudad]]," ",TBL_Sedes[[#This Row],[Nombre de la sede]])</f>
        <v xml:space="preserve">Duitama Sede Duitama - Ciudadela Industrial</v>
      </c>
      <c r="B148">
        <v>52</v>
      </c>
      <c r="C148">
        <v>95141002</v>
      </c>
      <c r="D148" t="s">
        <v>626</v>
      </c>
      <c r="E148" t="s">
        <v>728</v>
      </c>
      <c r="F148" t="s">
        <v>734</v>
      </c>
      <c r="G148" t="s">
        <v>735</v>
      </c>
      <c r="H148" t="s">
        <v>173</v>
      </c>
      <c r="I148" t="s">
        <v>174</v>
      </c>
      <c r="J148" t="s">
        <v>259</v>
      </c>
      <c r="K148" t="s">
        <v>147</v>
      </c>
      <c r="L148" t="s">
        <v>147</v>
      </c>
      <c r="M148" t="s">
        <v>148</v>
      </c>
      <c r="N148" t="s">
        <v>630</v>
      </c>
      <c r="O148" t="s">
        <v>631</v>
      </c>
      <c r="P148">
        <v>3158006906</v>
      </c>
      <c r="Q148">
        <v>82200</v>
      </c>
    </row>
    <row r="149">
      <c r="A149" t="str">
        <f>_xlfn.CONCAT(TBL_Sedes[[#This Row],[Ciudad]]," ",TBL_Sedes[[#This Row],[Nombre de la sede]])</f>
        <v xml:space="preserve">El Bagre Centro De Formación Minero Ambiental (El Bagre)</v>
      </c>
      <c r="B149">
        <v>233</v>
      </c>
      <c r="C149">
        <v>91271000</v>
      </c>
      <c r="D149" t="s">
        <v>152</v>
      </c>
      <c r="E149" t="s">
        <v>736</v>
      </c>
      <c r="F149" t="s">
        <v>737</v>
      </c>
      <c r="G149" t="s">
        <v>738</v>
      </c>
      <c r="H149" t="s">
        <v>144</v>
      </c>
      <c r="I149" t="s">
        <v>145</v>
      </c>
      <c r="J149" t="s">
        <v>146</v>
      </c>
      <c r="K149" t="s">
        <v>147</v>
      </c>
      <c r="L149" t="s">
        <v>147</v>
      </c>
      <c r="M149" t="s">
        <v>148</v>
      </c>
      <c r="N149" t="s">
        <v>739</v>
      </c>
      <c r="O149" t="s">
        <v>740</v>
      </c>
      <c r="P149">
        <v>3218525573</v>
      </c>
      <c r="Q149">
        <v>45121</v>
      </c>
      <c r="R149" t="s">
        <v>338</v>
      </c>
    </row>
    <row r="150">
      <c r="A150" t="str">
        <f>_xlfn.CONCAT(TBL_Sedes[[#This Row],[Ciudad]]," ",TBL_Sedes[[#This Row],[Nombre de la sede]])</f>
        <v xml:space="preserve">El Bagre Sede Centro De Formación Minero Ambiental</v>
      </c>
      <c r="B150">
        <v>123</v>
      </c>
      <c r="C150">
        <v>91271001</v>
      </c>
      <c r="D150" t="s">
        <v>152</v>
      </c>
      <c r="E150" t="s">
        <v>736</v>
      </c>
      <c r="F150" t="s">
        <v>741</v>
      </c>
      <c r="G150" t="s">
        <v>742</v>
      </c>
      <c r="H150" t="s">
        <v>173</v>
      </c>
      <c r="I150" t="s">
        <v>145</v>
      </c>
      <c r="J150" t="s">
        <v>146</v>
      </c>
      <c r="K150" t="s">
        <v>147</v>
      </c>
      <c r="L150" t="s">
        <v>147</v>
      </c>
      <c r="M150" t="s">
        <v>148</v>
      </c>
      <c r="N150" t="s">
        <v>739</v>
      </c>
      <c r="O150" t="s">
        <v>740</v>
      </c>
      <c r="P150">
        <v>3218525573</v>
      </c>
      <c r="Q150">
        <v>45121</v>
      </c>
      <c r="R150" t="s">
        <v>151</v>
      </c>
      <c r="S150" t="s">
        <v>147</v>
      </c>
      <c r="T150" t="s">
        <v>147</v>
      </c>
    </row>
    <row r="151">
      <c r="A151" t="str">
        <f>_xlfn.CONCAT(TBL_Sedes[[#This Row],[Ciudad]]," ",TBL_Sedes[[#This Row],[Nombre de la sede]])</f>
        <v xml:space="preserve">Espinal Centro Agropecuario La Granja</v>
      </c>
      <c r="B151">
        <v>156</v>
      </c>
      <c r="C151">
        <v>91231000</v>
      </c>
      <c r="D151" t="s">
        <v>743</v>
      </c>
      <c r="E151" t="s">
        <v>744</v>
      </c>
      <c r="F151" t="s">
        <v>745</v>
      </c>
      <c r="G151" t="s">
        <v>746</v>
      </c>
      <c r="H151" t="s">
        <v>144</v>
      </c>
      <c r="I151" t="s">
        <v>156</v>
      </c>
      <c r="J151" t="s">
        <v>146</v>
      </c>
      <c r="K151" t="s">
        <v>147</v>
      </c>
      <c r="L151" t="s">
        <v>147</v>
      </c>
      <c r="M151" t="s">
        <v>148</v>
      </c>
      <c r="N151" t="s">
        <v>747</v>
      </c>
      <c r="O151" t="s">
        <v>748</v>
      </c>
      <c r="P151">
        <v>3202923238</v>
      </c>
      <c r="Q151">
        <v>84658</v>
      </c>
      <c r="R151" t="s">
        <v>151</v>
      </c>
      <c r="S151" t="s">
        <v>147</v>
      </c>
      <c r="T151" t="s">
        <v>147</v>
      </c>
    </row>
    <row r="152">
      <c r="A152" t="str">
        <f>_xlfn.CONCAT(TBL_Sedes[[#This Row],[Ciudad]]," ",TBL_Sedes[[#This Row],[Nombre de la sede]])</f>
        <v xml:space="preserve">Espinal Escuela Postcosecha, Frutas Y Hortalizas</v>
      </c>
      <c r="B152">
        <v>157</v>
      </c>
      <c r="C152">
        <v>91231001</v>
      </c>
      <c r="D152" t="s">
        <v>743</v>
      </c>
      <c r="E152" t="s">
        <v>744</v>
      </c>
      <c r="F152" t="s">
        <v>749</v>
      </c>
      <c r="G152" t="s">
        <v>746</v>
      </c>
      <c r="H152" t="s">
        <v>173</v>
      </c>
      <c r="I152" t="s">
        <v>174</v>
      </c>
      <c r="J152" t="s">
        <v>193</v>
      </c>
      <c r="K152" t="s">
        <v>147</v>
      </c>
      <c r="L152" t="s">
        <v>147</v>
      </c>
      <c r="M152" t="s">
        <v>148</v>
      </c>
      <c r="N152" t="s">
        <v>747</v>
      </c>
      <c r="O152" t="s">
        <v>748</v>
      </c>
      <c r="P152">
        <v>3202923238</v>
      </c>
      <c r="Q152">
        <v>84658</v>
      </c>
      <c r="R152" t="s">
        <v>151</v>
      </c>
      <c r="S152" t="s">
        <v>147</v>
      </c>
      <c r="T152" t="s">
        <v>147</v>
      </c>
    </row>
    <row r="153">
      <c r="A153" t="str">
        <f>_xlfn.CONCAT(TBL_Sedes[[#This Row],[Ciudad]]," ",TBL_Sedes[[#This Row],[Nombre de la sede]])</f>
        <v xml:space="preserve">Florencia Centro Tecnológico De La Amazonía</v>
      </c>
      <c r="B153" t="s">
        <v>750</v>
      </c>
      <c r="C153">
        <v>95161000</v>
      </c>
      <c r="D153" t="s">
        <v>751</v>
      </c>
      <c r="E153" t="s">
        <v>752</v>
      </c>
      <c r="F153" t="s">
        <v>753</v>
      </c>
      <c r="G153" t="s">
        <v>754</v>
      </c>
      <c r="H153" t="s">
        <v>144</v>
      </c>
      <c r="I153" t="s">
        <v>174</v>
      </c>
      <c r="J153" t="s">
        <v>755</v>
      </c>
      <c r="K153" t="s">
        <v>147</v>
      </c>
      <c r="L153" t="s">
        <v>147</v>
      </c>
      <c r="M153" t="s">
        <v>148</v>
      </c>
      <c r="N153" t="s">
        <v>756</v>
      </c>
      <c r="O153" t="s">
        <v>757</v>
      </c>
      <c r="P153">
        <v>3144434608</v>
      </c>
      <c r="Q153">
        <v>83021</v>
      </c>
      <c r="R153" t="s">
        <v>168</v>
      </c>
      <c r="S153" t="s">
        <v>758</v>
      </c>
      <c r="T153" t="s">
        <v>545</v>
      </c>
    </row>
    <row r="154">
      <c r="A154" t="str">
        <f>_xlfn.CONCAT(TBL_Sedes[[#This Row],[Ciudad]]," ",TBL_Sedes[[#This Row],[Nombre de la sede]])</f>
        <v xml:space="preserve">Florencia Centro Tecnológico De La Amazonia </v>
      </c>
      <c r="B154">
        <v>245</v>
      </c>
      <c r="C154">
        <v>10101801</v>
      </c>
      <c r="D154" t="s">
        <v>751</v>
      </c>
      <c r="E154" t="s">
        <v>752</v>
      </c>
      <c r="F154" t="s">
        <v>759</v>
      </c>
      <c r="G154" t="s">
        <v>760</v>
      </c>
      <c r="H154" t="s">
        <v>173</v>
      </c>
      <c r="I154" t="s">
        <v>156</v>
      </c>
      <c r="J154" t="s">
        <v>761</v>
      </c>
      <c r="K154" t="s">
        <v>147</v>
      </c>
      <c r="L154" t="s">
        <v>147</v>
      </c>
      <c r="M154" t="s">
        <v>148</v>
      </c>
      <c r="N154" t="s">
        <v>756</v>
      </c>
      <c r="O154" t="s">
        <v>757</v>
      </c>
      <c r="P154">
        <v>3144434608</v>
      </c>
      <c r="Q154">
        <v>83021</v>
      </c>
      <c r="R154" t="s">
        <v>151</v>
      </c>
      <c r="S154" t="s">
        <v>147</v>
      </c>
      <c r="T154" t="s">
        <v>147</v>
      </c>
    </row>
    <row r="155">
      <c r="A155" t="str">
        <f>_xlfn.CONCAT(TBL_Sedes[[#This Row],[Ciudad]]," ",TBL_Sedes[[#This Row],[Nombre de la sede]])</f>
        <v xml:space="preserve">Florencia Granja Ceilan</v>
      </c>
      <c r="B155">
        <v>311</v>
      </c>
      <c r="C155">
        <v>95161002</v>
      </c>
      <c r="D155" t="s">
        <v>751</v>
      </c>
      <c r="E155" t="s">
        <v>752</v>
      </c>
      <c r="F155" t="s">
        <v>762</v>
      </c>
      <c r="G155" t="s">
        <v>763</v>
      </c>
      <c r="H155" t="s">
        <v>173</v>
      </c>
      <c r="I155" t="s">
        <v>174</v>
      </c>
      <c r="J155" t="s">
        <v>764</v>
      </c>
      <c r="K155" t="s">
        <v>147</v>
      </c>
      <c r="L155" t="s">
        <v>147</v>
      </c>
      <c r="M155" t="s">
        <v>360</v>
      </c>
      <c r="N155" t="s">
        <v>756</v>
      </c>
      <c r="O155" t="s">
        <v>757</v>
      </c>
      <c r="P155">
        <v>3144434608</v>
      </c>
      <c r="Q155">
        <v>83021</v>
      </c>
      <c r="S155" t="s">
        <v>758</v>
      </c>
      <c r="T155" t="s">
        <v>182</v>
      </c>
    </row>
    <row r="156">
      <c r="A156" t="str">
        <f>_xlfn.CONCAT(TBL_Sedes[[#This Row],[Ciudad]]," ",TBL_Sedes[[#This Row],[Nombre de la sede]])</f>
        <v xml:space="preserve">Florencia Regional Caquetá</v>
      </c>
      <c r="B156">
        <v>63</v>
      </c>
      <c r="C156">
        <v>10101800</v>
      </c>
      <c r="D156" t="s">
        <v>751</v>
      </c>
      <c r="E156" t="s">
        <v>752</v>
      </c>
      <c r="F156" t="s">
        <v>765</v>
      </c>
      <c r="G156" t="s">
        <v>766</v>
      </c>
      <c r="H156" t="s">
        <v>122</v>
      </c>
      <c r="I156" t="s">
        <v>174</v>
      </c>
      <c r="J156" t="s">
        <v>193</v>
      </c>
      <c r="K156" t="s">
        <v>147</v>
      </c>
      <c r="L156" t="s">
        <v>147</v>
      </c>
      <c r="M156" t="s">
        <v>148</v>
      </c>
      <c r="N156" t="s">
        <v>756</v>
      </c>
      <c r="O156" t="s">
        <v>757</v>
      </c>
      <c r="P156">
        <v>3144434608</v>
      </c>
      <c r="Q156">
        <v>83021</v>
      </c>
    </row>
    <row r="157">
      <c r="A157" t="str">
        <f>_xlfn.CONCAT(TBL_Sedes[[#This Row],[Ciudad]]," ",TBL_Sedes[[#This Row],[Nombre de la sede]])</f>
        <v xml:space="preserve">Floridablanca Centro Industrial Del Diseño Y La Manufactura</v>
      </c>
      <c r="B157">
        <v>142</v>
      </c>
      <c r="C157">
        <v>92251000</v>
      </c>
      <c r="D157" t="s">
        <v>230</v>
      </c>
      <c r="E157" t="s">
        <v>767</v>
      </c>
      <c r="F157" t="s">
        <v>768</v>
      </c>
      <c r="G157" t="s">
        <v>769</v>
      </c>
      <c r="H157" t="s">
        <v>144</v>
      </c>
      <c r="I157" t="s">
        <v>156</v>
      </c>
      <c r="J157" t="s">
        <v>157</v>
      </c>
      <c r="K157" t="s">
        <v>147</v>
      </c>
      <c r="L157" t="s">
        <v>147</v>
      </c>
      <c r="M157" t="s">
        <v>194</v>
      </c>
      <c r="N157" t="s">
        <v>470</v>
      </c>
      <c r="O157" t="s">
        <v>471</v>
      </c>
      <c r="P157">
        <v>3008456148</v>
      </c>
      <c r="Q157">
        <v>73552</v>
      </c>
      <c r="R157" t="s">
        <v>151</v>
      </c>
      <c r="S157" t="s">
        <v>147</v>
      </c>
      <c r="T157" t="s">
        <v>147</v>
      </c>
    </row>
    <row r="158">
      <c r="A158" t="str">
        <f>_xlfn.CONCAT(TBL_Sedes[[#This Row],[Ciudad]]," ",TBL_Sedes[[#This Row],[Nombre de la sede]])</f>
        <v xml:space="preserve">Fonseca Centro Agroempresarial Y Acuícola Sede Fonseca</v>
      </c>
      <c r="B158">
        <v>110</v>
      </c>
      <c r="C158">
        <v>95241001</v>
      </c>
      <c r="D158" t="s">
        <v>770</v>
      </c>
      <c r="E158" t="s">
        <v>771</v>
      </c>
      <c r="F158" t="s">
        <v>772</v>
      </c>
      <c r="G158" t="s">
        <v>773</v>
      </c>
      <c r="H158" t="s">
        <v>173</v>
      </c>
      <c r="I158" t="s">
        <v>145</v>
      </c>
      <c r="J158" t="s">
        <v>146</v>
      </c>
      <c r="K158" t="s">
        <v>147</v>
      </c>
      <c r="L158" t="s">
        <v>147</v>
      </c>
      <c r="M158" t="s">
        <v>148</v>
      </c>
      <c r="N158" t="s">
        <v>774</v>
      </c>
      <c r="O158" t="s">
        <v>775</v>
      </c>
      <c r="P158">
        <v>3106576857</v>
      </c>
      <c r="Q158">
        <v>53818</v>
      </c>
      <c r="R158" t="s">
        <v>151</v>
      </c>
      <c r="S158" t="s">
        <v>147</v>
      </c>
      <c r="T158" t="s">
        <v>147</v>
      </c>
    </row>
    <row r="159">
      <c r="A159" t="str">
        <f>_xlfn.CONCAT(TBL_Sedes[[#This Row],[Ciudad]]," ",TBL_Sedes[[#This Row],[Nombre de la sede]])</f>
        <v xml:space="preserve">Fundación Sede Fundación</v>
      </c>
      <c r="B159">
        <v>113</v>
      </c>
      <c r="C159">
        <v>91181001</v>
      </c>
      <c r="D159" t="s">
        <v>635</v>
      </c>
      <c r="E159" t="s">
        <v>776</v>
      </c>
      <c r="F159" t="s">
        <v>777</v>
      </c>
      <c r="G159" t="s">
        <v>778</v>
      </c>
      <c r="H159" t="s">
        <v>173</v>
      </c>
      <c r="I159" t="s">
        <v>174</v>
      </c>
      <c r="J159" t="s">
        <v>513</v>
      </c>
      <c r="K159" t="s">
        <v>147</v>
      </c>
      <c r="L159" t="s">
        <v>147</v>
      </c>
      <c r="M159" t="s">
        <v>148</v>
      </c>
      <c r="N159" t="s">
        <v>779</v>
      </c>
      <c r="O159" t="s">
        <v>780</v>
      </c>
      <c r="P159">
        <v>3156986545</v>
      </c>
      <c r="Q159">
        <v>54133</v>
      </c>
      <c r="R159" t="s">
        <v>380</v>
      </c>
      <c r="S159" t="s">
        <v>147</v>
      </c>
      <c r="T159" t="s">
        <v>147</v>
      </c>
    </row>
    <row r="160">
      <c r="A160" t="str">
        <f>_xlfn.CONCAT(TBL_Sedes[[#This Row],[Ciudad]]," ",TBL_Sedes[[#This Row],[Nombre de la sede]])</f>
        <v xml:space="preserve">Fusagasugá Centro Agroecológico Y Empresarial (Quebrajacho)</v>
      </c>
      <c r="B160">
        <v>266</v>
      </c>
      <c r="C160">
        <v>95101000</v>
      </c>
      <c r="D160" t="s">
        <v>370</v>
      </c>
      <c r="E160" t="s">
        <v>781</v>
      </c>
      <c r="F160" t="s">
        <v>782</v>
      </c>
      <c r="G160" t="s">
        <v>783</v>
      </c>
      <c r="H160" t="s">
        <v>144</v>
      </c>
      <c r="I160" t="s">
        <v>156</v>
      </c>
      <c r="J160" t="s">
        <v>165</v>
      </c>
      <c r="K160" t="s">
        <v>455</v>
      </c>
      <c r="L160" t="s">
        <v>147</v>
      </c>
      <c r="M160" t="s">
        <v>148</v>
      </c>
      <c r="N160" t="s">
        <v>784</v>
      </c>
      <c r="O160" t="s">
        <v>785</v>
      </c>
      <c r="P160" t="s">
        <v>786</v>
      </c>
      <c r="Q160">
        <v>17553</v>
      </c>
      <c r="R160" t="s">
        <v>151</v>
      </c>
      <c r="S160" t="s">
        <v>147</v>
      </c>
      <c r="T160" t="s">
        <v>147</v>
      </c>
    </row>
    <row r="161">
      <c r="A161" t="str">
        <f>_xlfn.CONCAT(TBL_Sedes[[#This Row],[Ciudad]]," ",TBL_Sedes[[#This Row],[Nombre de la sede]])</f>
        <v xml:space="preserve">Fusagasugá Centro agroecologico y empresarial subsede Manuel Humberto Cardenas Velez</v>
      </c>
      <c r="B161">
        <v>83</v>
      </c>
      <c r="C161">
        <v>95101001</v>
      </c>
      <c r="D161" t="s">
        <v>370</v>
      </c>
      <c r="E161" t="s">
        <v>781</v>
      </c>
      <c r="F161" t="s">
        <v>787</v>
      </c>
      <c r="G161" t="s">
        <v>788</v>
      </c>
      <c r="H161" t="s">
        <v>173</v>
      </c>
      <c r="I161" t="s">
        <v>145</v>
      </c>
      <c r="J161" t="s">
        <v>165</v>
      </c>
      <c r="K161" t="s">
        <v>290</v>
      </c>
      <c r="L161" t="s">
        <v>147</v>
      </c>
      <c r="M161" t="s">
        <v>148</v>
      </c>
      <c r="N161" t="s">
        <v>784</v>
      </c>
      <c r="O161" t="s">
        <v>785</v>
      </c>
      <c r="P161" t="s">
        <v>786</v>
      </c>
      <c r="Q161">
        <v>17553</v>
      </c>
      <c r="R161" t="s">
        <v>151</v>
      </c>
      <c r="S161" t="s">
        <v>147</v>
      </c>
      <c r="T161" t="s">
        <v>147</v>
      </c>
    </row>
    <row r="162">
      <c r="A162" t="str">
        <f>_xlfn.CONCAT(TBL_Sedes[[#This Row],[Ciudad]]," ",TBL_Sedes[[#This Row],[Nombre de la sede]])</f>
        <v xml:space="preserve">Gaira Centro Acuícola Y Agroindustrial De Gaira</v>
      </c>
      <c r="B162">
        <v>114</v>
      </c>
      <c r="C162">
        <v>91181000</v>
      </c>
      <c r="D162" t="s">
        <v>635</v>
      </c>
      <c r="E162" t="s">
        <v>789</v>
      </c>
      <c r="F162" t="s">
        <v>790</v>
      </c>
      <c r="G162" t="s">
        <v>791</v>
      </c>
      <c r="H162" t="s">
        <v>144</v>
      </c>
      <c r="I162" t="s">
        <v>156</v>
      </c>
      <c r="J162" t="s">
        <v>578</v>
      </c>
      <c r="K162" t="s">
        <v>147</v>
      </c>
      <c r="L162" t="s">
        <v>147</v>
      </c>
      <c r="M162" t="s">
        <v>148</v>
      </c>
      <c r="N162" t="s">
        <v>779</v>
      </c>
      <c r="O162" t="s">
        <v>780</v>
      </c>
      <c r="P162">
        <v>3156986545</v>
      </c>
      <c r="Q162">
        <v>54133</v>
      </c>
    </row>
    <row r="163">
      <c r="A163" t="str">
        <f>_xlfn.CONCAT(TBL_Sedes[[#This Row],[Ciudad]]," ",TBL_Sedes[[#This Row],[Nombre de la sede]])</f>
        <v xml:space="preserve">Galapa Nodo de diseño y mobiliario</v>
      </c>
      <c r="B163">
        <v>314</v>
      </c>
      <c r="C163">
        <v>92081003</v>
      </c>
      <c r="D163" t="s">
        <v>220</v>
      </c>
      <c r="E163" t="s">
        <v>792</v>
      </c>
      <c r="F163" t="s">
        <v>793</v>
      </c>
      <c r="G163" t="s">
        <v>794</v>
      </c>
      <c r="H163" t="s">
        <v>224</v>
      </c>
      <c r="I163" t="s">
        <v>174</v>
      </c>
      <c r="J163" t="s">
        <v>225</v>
      </c>
      <c r="K163" t="s">
        <v>147</v>
      </c>
      <c r="L163" t="s">
        <v>147</v>
      </c>
      <c r="M163" t="s">
        <v>227</v>
      </c>
      <c r="N163" t="s">
        <v>228</v>
      </c>
      <c r="O163" t="s">
        <v>229</v>
      </c>
      <c r="P163">
        <v>3116568942</v>
      </c>
      <c r="Q163">
        <v>52300</v>
      </c>
      <c r="S163" t="s">
        <v>795</v>
      </c>
      <c r="T163" t="s">
        <v>170</v>
      </c>
    </row>
    <row r="164">
      <c r="A164" t="str">
        <f>_xlfn.CONCAT(TBL_Sedes[[#This Row],[Ciudad]]," ",TBL_Sedes[[#This Row],[Nombre de la sede]])</f>
        <v xml:space="preserve">Garzón Centro Agroempresarial Y Desarrollo Pecuario Del Huila</v>
      </c>
      <c r="B164">
        <v>102</v>
      </c>
      <c r="C164">
        <v>95251000</v>
      </c>
      <c r="D164" t="s">
        <v>574</v>
      </c>
      <c r="E164" t="s">
        <v>796</v>
      </c>
      <c r="F164" t="s">
        <v>797</v>
      </c>
      <c r="G164" t="s">
        <v>798</v>
      </c>
      <c r="H164" t="s">
        <v>144</v>
      </c>
      <c r="I164" t="s">
        <v>145</v>
      </c>
      <c r="J164" t="s">
        <v>454</v>
      </c>
      <c r="K164" t="s">
        <v>147</v>
      </c>
      <c r="L164" t="s">
        <v>147</v>
      </c>
      <c r="M164" t="s">
        <v>148</v>
      </c>
      <c r="N164" t="s">
        <v>799</v>
      </c>
      <c r="O164" t="s">
        <v>800</v>
      </c>
      <c r="P164" t="s">
        <v>801</v>
      </c>
      <c r="Q164">
        <v>83615</v>
      </c>
      <c r="R164" t="s">
        <v>151</v>
      </c>
      <c r="S164" t="s">
        <v>147</v>
      </c>
      <c r="T164" t="s">
        <v>147</v>
      </c>
    </row>
    <row r="165">
      <c r="A165" t="str">
        <f>_xlfn.CONCAT(TBL_Sedes[[#This Row],[Ciudad]]," ",TBL_Sedes[[#This Row],[Nombre de la sede]])</f>
        <v xml:space="preserve">Garzón Sede  Provivienda</v>
      </c>
      <c r="B165">
        <v>344</v>
      </c>
      <c r="C165">
        <v>95251001</v>
      </c>
      <c r="D165" t="s">
        <v>574</v>
      </c>
      <c r="E165" t="s">
        <v>796</v>
      </c>
      <c r="F165" t="s">
        <v>802</v>
      </c>
      <c r="G165" t="s">
        <v>803</v>
      </c>
      <c r="H165" t="s">
        <v>224</v>
      </c>
      <c r="I165" t="s">
        <v>174</v>
      </c>
      <c r="J165" t="s">
        <v>483</v>
      </c>
      <c r="K165" t="s">
        <v>541</v>
      </c>
      <c r="L165" t="s">
        <v>147</v>
      </c>
      <c r="M165" t="s">
        <v>227</v>
      </c>
      <c r="N165" t="s">
        <v>799</v>
      </c>
      <c r="O165" t="s">
        <v>800</v>
      </c>
      <c r="P165">
        <v>3125842606</v>
      </c>
      <c r="Q165">
        <v>83615</v>
      </c>
      <c r="R165" t="s">
        <v>168</v>
      </c>
      <c r="S165" t="s">
        <v>568</v>
      </c>
      <c r="T165" t="s">
        <v>804</v>
      </c>
    </row>
    <row r="166">
      <c r="A166" t="str">
        <f>_xlfn.CONCAT(TBL_Sedes[[#This Row],[Ciudad]]," ",TBL_Sedes[[#This Row],[Nombre de la sede]])</f>
        <v xml:space="preserve">Girardot Centro De La Tecnología Del Diseño Y La Productividad Empresarial</v>
      </c>
      <c r="B166">
        <v>85</v>
      </c>
      <c r="C166">
        <v>95111000</v>
      </c>
      <c r="D166" t="s">
        <v>370</v>
      </c>
      <c r="E166" t="s">
        <v>805</v>
      </c>
      <c r="F166" t="s">
        <v>806</v>
      </c>
      <c r="G166" t="s">
        <v>807</v>
      </c>
      <c r="H166" t="s">
        <v>144</v>
      </c>
      <c r="I166" t="s">
        <v>156</v>
      </c>
      <c r="J166" t="s">
        <v>165</v>
      </c>
      <c r="K166" t="s">
        <v>808</v>
      </c>
      <c r="L166" t="s">
        <v>808</v>
      </c>
      <c r="M166" t="s">
        <v>148</v>
      </c>
      <c r="N166" t="s">
        <v>809</v>
      </c>
      <c r="O166" t="s">
        <v>810</v>
      </c>
      <c r="P166" t="s">
        <v>811</v>
      </c>
      <c r="Q166">
        <v>17774</v>
      </c>
      <c r="R166" t="s">
        <v>151</v>
      </c>
      <c r="S166" t="s">
        <v>147</v>
      </c>
      <c r="T166" t="s">
        <v>147</v>
      </c>
    </row>
    <row r="167">
      <c r="A167" t="str">
        <f>_xlfn.CONCAT(TBL_Sedes[[#This Row],[Ciudad]]," ",TBL_Sedes[[#This Row],[Nombre de la sede]])</f>
        <v xml:space="preserve">Girardot Sede Ituc</v>
      </c>
      <c r="B167">
        <v>86</v>
      </c>
      <c r="C167">
        <v>95111001</v>
      </c>
      <c r="D167" t="s">
        <v>370</v>
      </c>
      <c r="E167" t="s">
        <v>805</v>
      </c>
      <c r="F167" t="s">
        <v>812</v>
      </c>
      <c r="G167" t="s">
        <v>813</v>
      </c>
      <c r="H167" t="s">
        <v>173</v>
      </c>
      <c r="I167" t="s">
        <v>174</v>
      </c>
      <c r="J167" t="s">
        <v>146</v>
      </c>
      <c r="K167" t="s">
        <v>147</v>
      </c>
      <c r="L167" t="s">
        <v>147</v>
      </c>
      <c r="M167" t="s">
        <v>360</v>
      </c>
      <c r="N167" t="s">
        <v>814</v>
      </c>
      <c r="O167" t="s">
        <v>815</v>
      </c>
      <c r="P167" t="s">
        <v>816</v>
      </c>
    </row>
    <row r="168">
      <c r="A168" t="str">
        <f>_xlfn.CONCAT(TBL_Sedes[[#This Row],[Ciudad]]," ",TBL_Sedes[[#This Row],[Nombre de la sede]])</f>
        <v xml:space="preserve">Girardot Subsede </v>
      </c>
      <c r="B168">
        <v>323</v>
      </c>
      <c r="C168">
        <v>95111050</v>
      </c>
      <c r="D168" t="s">
        <v>370</v>
      </c>
      <c r="E168" t="s">
        <v>805</v>
      </c>
      <c r="F168" t="s">
        <v>658</v>
      </c>
      <c r="G168" t="s">
        <v>817</v>
      </c>
      <c r="H168" t="s">
        <v>217</v>
      </c>
      <c r="I168" t="s">
        <v>174</v>
      </c>
      <c r="J168" t="s">
        <v>206</v>
      </c>
      <c r="K168" t="s">
        <v>207</v>
      </c>
      <c r="L168" t="s">
        <v>147</v>
      </c>
      <c r="M168" t="s">
        <v>148</v>
      </c>
      <c r="N168" t="s">
        <v>814</v>
      </c>
      <c r="O168" t="s">
        <v>815</v>
      </c>
      <c r="P168" t="s">
        <v>816</v>
      </c>
    </row>
    <row r="169">
      <c r="A169" t="str">
        <f>_xlfn.CONCAT(TBL_Sedes[[#This Row],[Ciudad]]," ",TBL_Sedes[[#This Row],[Nombre de la sede]])</f>
        <v xml:space="preserve">Girón Centro Industrial De Mantenimiento Integral</v>
      </c>
      <c r="B169">
        <v>141</v>
      </c>
      <c r="C169">
        <v>92241000</v>
      </c>
      <c r="D169" t="s">
        <v>230</v>
      </c>
      <c r="E169" t="s">
        <v>818</v>
      </c>
      <c r="F169" t="s">
        <v>819</v>
      </c>
      <c r="G169" s="5" t="s">
        <v>820</v>
      </c>
      <c r="H169" t="s">
        <v>144</v>
      </c>
      <c r="I169" t="s">
        <v>156</v>
      </c>
      <c r="J169" t="s">
        <v>821</v>
      </c>
      <c r="K169" t="s">
        <v>822</v>
      </c>
      <c r="L169" t="s">
        <v>252</v>
      </c>
      <c r="M169" t="s">
        <v>148</v>
      </c>
      <c r="N169" t="s">
        <v>823</v>
      </c>
      <c r="O169" t="s">
        <v>824</v>
      </c>
      <c r="P169" t="s">
        <v>825</v>
      </c>
      <c r="Q169">
        <v>73355</v>
      </c>
      <c r="R169" t="s">
        <v>151</v>
      </c>
      <c r="S169" t="s">
        <v>147</v>
      </c>
      <c r="T169" t="s">
        <v>147</v>
      </c>
    </row>
    <row r="170">
      <c r="A170" t="str">
        <f>_xlfn.CONCAT(TBL_Sedes[[#This Row],[Ciudad]]," ",TBL_Sedes[[#This Row],[Nombre de la sede]])</f>
        <v xml:space="preserve">Gómez Plata Sede Gómez Plata</v>
      </c>
      <c r="B170">
        <v>349</v>
      </c>
      <c r="C170">
        <v>92061001</v>
      </c>
      <c r="D170" t="s">
        <v>152</v>
      </c>
      <c r="E170" t="s">
        <v>826</v>
      </c>
      <c r="F170" t="s">
        <v>827</v>
      </c>
      <c r="G170" t="s">
        <v>828</v>
      </c>
      <c r="H170" t="s">
        <v>224</v>
      </c>
      <c r="I170" t="s">
        <v>174</v>
      </c>
      <c r="J170" t="s">
        <v>689</v>
      </c>
      <c r="K170" t="s">
        <v>147</v>
      </c>
      <c r="L170" t="s">
        <v>147</v>
      </c>
      <c r="M170" t="s">
        <v>148</v>
      </c>
      <c r="N170" t="s">
        <v>829</v>
      </c>
      <c r="O170" t="s">
        <v>830</v>
      </c>
      <c r="P170">
        <v>3182124446</v>
      </c>
      <c r="Q170">
        <v>43647</v>
      </c>
      <c r="R170" t="s">
        <v>151</v>
      </c>
      <c r="S170" t="s">
        <v>147</v>
      </c>
      <c r="T170" t="s">
        <v>147</v>
      </c>
    </row>
    <row r="171">
      <c r="A171" t="str">
        <f>_xlfn.CONCAT(TBL_Sedes[[#This Row],[Ciudad]]," ",TBL_Sedes[[#This Row],[Nombre de la sede]])</f>
        <v xml:space="preserve">Granada Sede Granada </v>
      </c>
      <c r="B171">
        <v>292</v>
      </c>
      <c r="C171">
        <v>91171003</v>
      </c>
      <c r="D171" t="s">
        <v>831</v>
      </c>
      <c r="E171" t="s">
        <v>832</v>
      </c>
      <c r="F171" t="s">
        <v>833</v>
      </c>
      <c r="G171" t="s">
        <v>834</v>
      </c>
      <c r="H171" t="s">
        <v>173</v>
      </c>
      <c r="I171" t="s">
        <v>174</v>
      </c>
      <c r="J171" t="s">
        <v>165</v>
      </c>
      <c r="K171" t="s">
        <v>147</v>
      </c>
      <c r="L171" t="s">
        <v>147</v>
      </c>
      <c r="M171" t="s">
        <v>148</v>
      </c>
      <c r="N171" t="s">
        <v>835</v>
      </c>
      <c r="O171" t="s">
        <v>836</v>
      </c>
      <c r="P171" t="s">
        <v>837</v>
      </c>
      <c r="Q171">
        <v>84180</v>
      </c>
    </row>
    <row r="172">
      <c r="A172" t="str">
        <f>_xlfn.CONCAT(TBL_Sedes[[#This Row],[Ciudad]]," ",TBL_Sedes[[#This Row],[Nombre de la sede]])</f>
        <v xml:space="preserve">Granada Sede Los Naranjos</v>
      </c>
      <c r="B172">
        <v>118</v>
      </c>
      <c r="C172">
        <v>91171001</v>
      </c>
      <c r="D172" t="s">
        <v>831</v>
      </c>
      <c r="E172" t="s">
        <v>832</v>
      </c>
      <c r="F172" t="s">
        <v>838</v>
      </c>
      <c r="G172" t="s">
        <v>839</v>
      </c>
      <c r="H172" t="s">
        <v>144</v>
      </c>
      <c r="I172" t="s">
        <v>145</v>
      </c>
      <c r="J172" t="s">
        <v>840</v>
      </c>
      <c r="K172" t="s">
        <v>147</v>
      </c>
      <c r="L172" t="s">
        <v>147</v>
      </c>
      <c r="M172" t="s">
        <v>148</v>
      </c>
      <c r="N172" t="s">
        <v>835</v>
      </c>
      <c r="O172" t="s">
        <v>836</v>
      </c>
      <c r="P172" t="s">
        <v>837</v>
      </c>
      <c r="Q172">
        <v>84180</v>
      </c>
      <c r="R172" t="s">
        <v>151</v>
      </c>
      <c r="S172" t="s">
        <v>147</v>
      </c>
      <c r="T172" t="s">
        <v>147</v>
      </c>
    </row>
    <row r="173">
      <c r="A173" t="str">
        <f>_xlfn.CONCAT(TBL_Sedes[[#This Row],[Ciudad]]," ",TBL_Sedes[[#This Row],[Nombre de la sede]])</f>
        <v xml:space="preserve">Guapi Sede Guapi</v>
      </c>
      <c r="B173">
        <v>69</v>
      </c>
      <c r="C173">
        <v>93071001</v>
      </c>
      <c r="D173" t="s">
        <v>841</v>
      </c>
      <c r="E173" t="s">
        <v>842</v>
      </c>
      <c r="F173" t="s">
        <v>843</v>
      </c>
      <c r="G173" t="s">
        <v>844</v>
      </c>
      <c r="H173" t="s">
        <v>173</v>
      </c>
      <c r="I173" t="s">
        <v>174</v>
      </c>
      <c r="J173" t="s">
        <v>146</v>
      </c>
      <c r="K173" t="s">
        <v>146</v>
      </c>
      <c r="L173" t="s">
        <v>147</v>
      </c>
      <c r="M173" t="s">
        <v>148</v>
      </c>
      <c r="N173" t="s">
        <v>845</v>
      </c>
      <c r="O173" t="s">
        <v>846</v>
      </c>
      <c r="P173">
        <v>3112879904</v>
      </c>
      <c r="Q173">
        <v>22438</v>
      </c>
      <c r="R173" t="s">
        <v>151</v>
      </c>
      <c r="S173" t="s">
        <v>147</v>
      </c>
      <c r="T173" t="s">
        <v>147</v>
      </c>
    </row>
    <row r="174">
      <c r="A174" t="str">
        <f>_xlfn.CONCAT(TBL_Sedes[[#This Row],[Ciudad]]," ",TBL_Sedes[[#This Row],[Nombre de la sede]])</f>
        <v xml:space="preserve">Guarne Centro De La Innovación, La Agroindustria Y La Aviación Sede Guarne</v>
      </c>
      <c r="B174">
        <v>187</v>
      </c>
      <c r="C174">
        <v>95031008</v>
      </c>
      <c r="D174" t="s">
        <v>152</v>
      </c>
      <c r="E174" t="s">
        <v>847</v>
      </c>
      <c r="F174" t="s">
        <v>848</v>
      </c>
      <c r="G174" t="s">
        <v>849</v>
      </c>
      <c r="H174" t="s">
        <v>173</v>
      </c>
      <c r="I174" t="s">
        <v>174</v>
      </c>
      <c r="J174" t="s">
        <v>653</v>
      </c>
      <c r="K174" t="s">
        <v>147</v>
      </c>
      <c r="L174" t="s">
        <v>147</v>
      </c>
      <c r="M174" t="s">
        <v>148</v>
      </c>
      <c r="N174" t="s">
        <v>654</v>
      </c>
      <c r="O174" t="s">
        <v>655</v>
      </c>
      <c r="P174" t="s">
        <v>656</v>
      </c>
      <c r="Q174">
        <v>44130</v>
      </c>
      <c r="R174" t="s">
        <v>380</v>
      </c>
      <c r="S174" t="s">
        <v>147</v>
      </c>
      <c r="T174" t="s">
        <v>147</v>
      </c>
    </row>
    <row r="175">
      <c r="A175" t="str">
        <f>_xlfn.CONCAT(TBL_Sedes[[#This Row],[Ciudad]]," ",TBL_Sedes[[#This Row],[Nombre de la sede]])</f>
        <v xml:space="preserve">Guarne Sede Guarne</v>
      </c>
      <c r="B175">
        <v>227</v>
      </c>
      <c r="C175">
        <v>95031006</v>
      </c>
      <c r="D175" t="s">
        <v>152</v>
      </c>
      <c r="E175" t="s">
        <v>847</v>
      </c>
      <c r="F175" t="s">
        <v>850</v>
      </c>
      <c r="G175" t="s">
        <v>851</v>
      </c>
      <c r="H175" t="s">
        <v>173</v>
      </c>
      <c r="I175" t="s">
        <v>174</v>
      </c>
      <c r="J175" t="s">
        <v>653</v>
      </c>
      <c r="K175" t="s">
        <v>147</v>
      </c>
      <c r="L175" t="s">
        <v>147</v>
      </c>
      <c r="M175" t="s">
        <v>148</v>
      </c>
      <c r="N175" t="s">
        <v>654</v>
      </c>
      <c r="O175" t="s">
        <v>655</v>
      </c>
      <c r="P175" t="s">
        <v>656</v>
      </c>
      <c r="Q175">
        <v>44130</v>
      </c>
    </row>
    <row r="176">
      <c r="A176" t="str">
        <f>_xlfn.CONCAT(TBL_Sedes[[#This Row],[Ciudad]]," ",TBL_Sedes[[#This Row],[Nombre de la sede]])</f>
        <v xml:space="preserve">Ibagué Centro De Comercio Y Servicios</v>
      </c>
      <c r="B176" t="s">
        <v>852</v>
      </c>
      <c r="C176">
        <v>93101000</v>
      </c>
      <c r="D176" t="s">
        <v>743</v>
      </c>
      <c r="E176" t="s">
        <v>853</v>
      </c>
      <c r="F176" t="s">
        <v>242</v>
      </c>
      <c r="G176" t="s">
        <v>854</v>
      </c>
      <c r="H176" t="s">
        <v>144</v>
      </c>
      <c r="I176" t="s">
        <v>156</v>
      </c>
      <c r="J176" t="s">
        <v>165</v>
      </c>
      <c r="K176" t="s">
        <v>218</v>
      </c>
      <c r="L176" t="s">
        <v>147</v>
      </c>
      <c r="M176" t="s">
        <v>148</v>
      </c>
      <c r="N176" t="s">
        <v>855</v>
      </c>
      <c r="O176" t="s">
        <v>856</v>
      </c>
      <c r="P176">
        <v>3174009040</v>
      </c>
      <c r="Q176">
        <v>84253</v>
      </c>
      <c r="R176" t="s">
        <v>151</v>
      </c>
      <c r="S176" t="s">
        <v>147</v>
      </c>
      <c r="T176" t="s">
        <v>147</v>
      </c>
    </row>
    <row r="177">
      <c r="A177" t="str">
        <f>_xlfn.CONCAT(TBL_Sedes[[#This Row],[Ciudad]]," ",TBL_Sedes[[#This Row],[Nombre de la sede]])</f>
        <v xml:space="preserve">Ibagué Centro De Industria Y La Construcción</v>
      </c>
      <c r="B177">
        <v>153</v>
      </c>
      <c r="C177">
        <v>92261000</v>
      </c>
      <c r="D177" t="s">
        <v>743</v>
      </c>
      <c r="E177" t="s">
        <v>853</v>
      </c>
      <c r="F177" t="s">
        <v>857</v>
      </c>
      <c r="G177" t="s">
        <v>858</v>
      </c>
      <c r="H177" t="s">
        <v>144</v>
      </c>
      <c r="I177" t="s">
        <v>156</v>
      </c>
      <c r="J177" t="s">
        <v>146</v>
      </c>
      <c r="K177" t="s">
        <v>147</v>
      </c>
      <c r="L177" t="s">
        <v>147</v>
      </c>
      <c r="M177" t="s">
        <v>148</v>
      </c>
      <c r="N177" t="s">
        <v>859</v>
      </c>
      <c r="O177" t="s">
        <v>860</v>
      </c>
      <c r="P177" t="s">
        <v>861</v>
      </c>
      <c r="Q177">
        <v>86086</v>
      </c>
      <c r="R177" t="s">
        <v>151</v>
      </c>
      <c r="S177" t="s">
        <v>147</v>
      </c>
      <c r="T177" t="s">
        <v>147</v>
      </c>
    </row>
    <row r="178">
      <c r="A178" t="str">
        <f>_xlfn.CONCAT(TBL_Sedes[[#This Row],[Ciudad]]," ",TBL_Sedes[[#This Row],[Nombre de la sede]])</f>
        <v xml:space="preserve">Ibagué Regional Tolima</v>
      </c>
      <c r="B178">
        <v>154</v>
      </c>
      <c r="C178">
        <v>10107300</v>
      </c>
      <c r="D178" t="s">
        <v>743</v>
      </c>
      <c r="E178" t="s">
        <v>853</v>
      </c>
      <c r="F178" t="s">
        <v>862</v>
      </c>
      <c r="G178" t="s">
        <v>854</v>
      </c>
      <c r="H178" t="s">
        <v>122</v>
      </c>
      <c r="I178" t="s">
        <v>156</v>
      </c>
      <c r="J178" t="s">
        <v>454</v>
      </c>
      <c r="K178" t="s">
        <v>147</v>
      </c>
      <c r="L178" t="s">
        <v>147</v>
      </c>
      <c r="M178" t="s">
        <v>148</v>
      </c>
      <c r="N178" t="s">
        <v>855</v>
      </c>
      <c r="O178" t="s">
        <v>856</v>
      </c>
      <c r="P178">
        <v>3174009040</v>
      </c>
      <c r="Q178">
        <v>84253</v>
      </c>
      <c r="R178" t="s">
        <v>151</v>
      </c>
      <c r="S178" t="s">
        <v>147</v>
      </c>
      <c r="T178" t="s">
        <v>147</v>
      </c>
    </row>
    <row r="179">
      <c r="A179" t="str">
        <f>_xlfn.CONCAT(TBL_Sedes[[#This Row],[Ciudad]]," ",TBL_Sedes[[#This Row],[Nombre de la sede]])</f>
        <v xml:space="preserve">Inírida Centro Ambiental Y Ecoturístico Del Nororiente Amazónico</v>
      </c>
      <c r="B179" t="s">
        <v>863</v>
      </c>
      <c r="C179">
        <v>95471000</v>
      </c>
      <c r="D179" t="s">
        <v>864</v>
      </c>
      <c r="E179" t="s">
        <v>865</v>
      </c>
      <c r="F179" t="s">
        <v>866</v>
      </c>
      <c r="G179" t="s">
        <v>867</v>
      </c>
      <c r="H179" t="s">
        <v>144</v>
      </c>
      <c r="I179" t="s">
        <v>156</v>
      </c>
      <c r="J179" t="s">
        <v>165</v>
      </c>
      <c r="K179" t="s">
        <v>147</v>
      </c>
      <c r="L179" t="s">
        <v>147</v>
      </c>
      <c r="M179" t="s">
        <v>148</v>
      </c>
      <c r="N179" t="s">
        <v>868</v>
      </c>
      <c r="O179" t="s">
        <v>869</v>
      </c>
      <c r="P179">
        <v>3118118940</v>
      </c>
      <c r="Q179">
        <v>85263</v>
      </c>
    </row>
    <row r="180">
      <c r="A180" t="str">
        <f>_xlfn.CONCAT(TBL_Sedes[[#This Row],[Ciudad]]," ",TBL_Sedes[[#This Row],[Nombre de la sede]])</f>
        <v xml:space="preserve">Inírida Regional Guainía</v>
      </c>
      <c r="B180">
        <v>176</v>
      </c>
      <c r="C180">
        <v>10109400</v>
      </c>
      <c r="D180" t="s">
        <v>864</v>
      </c>
      <c r="E180" t="s">
        <v>865</v>
      </c>
      <c r="F180" t="s">
        <v>870</v>
      </c>
      <c r="G180" t="s">
        <v>867</v>
      </c>
      <c r="H180" t="s">
        <v>122</v>
      </c>
      <c r="I180" t="s">
        <v>156</v>
      </c>
      <c r="J180" t="s">
        <v>345</v>
      </c>
      <c r="K180" t="s">
        <v>218</v>
      </c>
      <c r="L180" t="s">
        <v>147</v>
      </c>
      <c r="M180" t="s">
        <v>148</v>
      </c>
      <c r="N180" t="s">
        <v>868</v>
      </c>
      <c r="O180" t="s">
        <v>869</v>
      </c>
      <c r="P180">
        <v>3118118940</v>
      </c>
      <c r="Q180">
        <v>85263</v>
      </c>
    </row>
    <row r="181">
      <c r="A181" t="str">
        <f>_xlfn.CONCAT(TBL_Sedes[[#This Row],[Ciudad]]," ",TBL_Sedes[[#This Row],[Nombre de la sede]])</f>
        <v xml:space="preserve">Ipiales Centro Sur Colombiano De Logística Internacional</v>
      </c>
      <c r="B181">
        <v>121</v>
      </c>
      <c r="C181">
        <v>95341000</v>
      </c>
      <c r="D181" t="s">
        <v>871</v>
      </c>
      <c r="E181" t="s">
        <v>872</v>
      </c>
      <c r="F181" t="s">
        <v>873</v>
      </c>
      <c r="G181" t="s">
        <v>874</v>
      </c>
      <c r="H181" t="s">
        <v>144</v>
      </c>
      <c r="I181" t="s">
        <v>145</v>
      </c>
      <c r="J181" t="s">
        <v>875</v>
      </c>
      <c r="K181" t="s">
        <v>147</v>
      </c>
      <c r="L181" t="s">
        <v>147</v>
      </c>
      <c r="M181" t="s">
        <v>148</v>
      </c>
      <c r="N181" t="s">
        <v>876</v>
      </c>
      <c r="O181" t="s">
        <v>877</v>
      </c>
      <c r="P181" t="s">
        <v>878</v>
      </c>
      <c r="Q181">
        <v>72200</v>
      </c>
      <c r="R181" t="s">
        <v>151</v>
      </c>
      <c r="S181" t="s">
        <v>147</v>
      </c>
      <c r="T181" t="s">
        <v>147</v>
      </c>
    </row>
    <row r="182">
      <c r="A182" t="str">
        <f>_xlfn.CONCAT(TBL_Sedes[[#This Row],[Ciudad]]," ",TBL_Sedes[[#This Row],[Nombre de la sede]])</f>
        <v xml:space="preserve">Ipiales Sede Ipiales</v>
      </c>
      <c r="B182">
        <v>229</v>
      </c>
      <c r="C182">
        <v>95341001</v>
      </c>
      <c r="D182" t="s">
        <v>871</v>
      </c>
      <c r="E182" t="s">
        <v>872</v>
      </c>
      <c r="F182" t="s">
        <v>879</v>
      </c>
      <c r="G182" t="s">
        <v>880</v>
      </c>
      <c r="H182" t="s">
        <v>173</v>
      </c>
      <c r="I182" t="s">
        <v>174</v>
      </c>
      <c r="J182" t="s">
        <v>454</v>
      </c>
      <c r="K182" t="s">
        <v>147</v>
      </c>
      <c r="L182" t="s">
        <v>147</v>
      </c>
      <c r="M182" t="s">
        <v>360</v>
      </c>
      <c r="N182" t="s">
        <v>876</v>
      </c>
      <c r="O182" t="s">
        <v>877</v>
      </c>
      <c r="P182" t="s">
        <v>878</v>
      </c>
      <c r="Q182">
        <v>72200</v>
      </c>
      <c r="R182" t="s">
        <v>338</v>
      </c>
    </row>
    <row r="183">
      <c r="A183" t="str">
        <f>_xlfn.CONCAT(TBL_Sedes[[#This Row],[Ciudad]]," ",TBL_Sedes[[#This Row],[Nombre de la sede]])</f>
        <v xml:space="preserve">Istmina Istmina</v>
      </c>
      <c r="B183">
        <v>200</v>
      </c>
      <c r="C183">
        <v>95221001</v>
      </c>
      <c r="D183" t="s">
        <v>881</v>
      </c>
      <c r="E183" t="s">
        <v>882</v>
      </c>
      <c r="F183" t="s">
        <v>882</v>
      </c>
      <c r="G183" t="s">
        <v>883</v>
      </c>
      <c r="H183" t="s">
        <v>173</v>
      </c>
      <c r="I183" t="s">
        <v>174</v>
      </c>
      <c r="J183" t="s">
        <v>147</v>
      </c>
      <c r="K183" t="s">
        <v>147</v>
      </c>
      <c r="L183" t="s">
        <v>147</v>
      </c>
      <c r="M183" t="s">
        <v>360</v>
      </c>
      <c r="N183" t="s">
        <v>884</v>
      </c>
      <c r="O183" t="s">
        <v>885</v>
      </c>
      <c r="P183">
        <v>3206322392</v>
      </c>
      <c r="Q183">
        <v>44402</v>
      </c>
    </row>
    <row r="184">
      <c r="A184" t="str">
        <f>_xlfn.CONCAT(TBL_Sedes[[#This Row],[Ciudad]]," ",TBL_Sedes[[#This Row],[Nombre de la sede]])</f>
        <v xml:space="preserve">Itagüí Centro De Formación En Diseño, Confección Y Moda - Complejo Sur</v>
      </c>
      <c r="B184" t="s">
        <v>886</v>
      </c>
      <c r="C184">
        <v>92021000</v>
      </c>
      <c r="D184" t="s">
        <v>152</v>
      </c>
      <c r="E184" t="s">
        <v>887</v>
      </c>
      <c r="F184" t="s">
        <v>888</v>
      </c>
      <c r="G184" t="s">
        <v>889</v>
      </c>
      <c r="H184" t="s">
        <v>144</v>
      </c>
      <c r="I184" t="s">
        <v>156</v>
      </c>
      <c r="J184" t="s">
        <v>165</v>
      </c>
      <c r="K184" t="s">
        <v>890</v>
      </c>
      <c r="L184" t="s">
        <v>808</v>
      </c>
      <c r="M184" t="s">
        <v>148</v>
      </c>
      <c r="N184" t="s">
        <v>891</v>
      </c>
      <c r="O184" t="s">
        <v>892</v>
      </c>
      <c r="P184">
        <v>3122320709</v>
      </c>
      <c r="Q184">
        <v>43117</v>
      </c>
      <c r="R184" t="s">
        <v>380</v>
      </c>
      <c r="S184" t="s">
        <v>147</v>
      </c>
      <c r="T184" t="s">
        <v>147</v>
      </c>
    </row>
    <row r="185">
      <c r="A185" t="str">
        <f>_xlfn.CONCAT(TBL_Sedes[[#This Row],[Ciudad]]," ",TBL_Sedes[[#This Row],[Nombre de la sede]])</f>
        <v xml:space="preserve">Itagüí Centro Del Diseño Y Manufactura De Cuero - Complejo Sur</v>
      </c>
      <c r="B185">
        <v>8</v>
      </c>
      <c r="C185">
        <v>92011000</v>
      </c>
      <c r="D185" t="s">
        <v>152</v>
      </c>
      <c r="E185" t="s">
        <v>887</v>
      </c>
      <c r="F185" t="s">
        <v>893</v>
      </c>
      <c r="G185" t="s">
        <v>889</v>
      </c>
      <c r="H185" t="s">
        <v>144</v>
      </c>
      <c r="I185" t="s">
        <v>156</v>
      </c>
      <c r="J185" t="s">
        <v>234</v>
      </c>
      <c r="K185" t="s">
        <v>894</v>
      </c>
      <c r="L185" t="s">
        <v>392</v>
      </c>
      <c r="M185" t="s">
        <v>148</v>
      </c>
      <c r="N185" t="s">
        <v>895</v>
      </c>
      <c r="O185" t="s">
        <v>896</v>
      </c>
      <c r="Q185">
        <v>43261</v>
      </c>
      <c r="R185" t="s">
        <v>380</v>
      </c>
      <c r="S185" t="s">
        <v>147</v>
      </c>
      <c r="T185" t="s">
        <v>147</v>
      </c>
    </row>
    <row r="186">
      <c r="A186" t="str">
        <f>_xlfn.CONCAT(TBL_Sedes[[#This Row],[Ciudad]]," ",TBL_Sedes[[#This Row],[Nombre de la sede]])</f>
        <v xml:space="preserve">Itagüí Centro Tecnológico Del Mobiliario - Complejo Sur</v>
      </c>
      <c r="B186" t="s">
        <v>897</v>
      </c>
      <c r="C186">
        <v>92051000</v>
      </c>
      <c r="D186" t="s">
        <v>152</v>
      </c>
      <c r="E186" t="s">
        <v>887</v>
      </c>
      <c r="F186" t="s">
        <v>898</v>
      </c>
      <c r="G186" t="s">
        <v>899</v>
      </c>
      <c r="H186" t="s">
        <v>144</v>
      </c>
      <c r="I186" t="s">
        <v>156</v>
      </c>
      <c r="J186" t="s">
        <v>464</v>
      </c>
      <c r="K186" t="s">
        <v>506</v>
      </c>
      <c r="L186" t="s">
        <v>506</v>
      </c>
      <c r="M186" t="s">
        <v>148</v>
      </c>
      <c r="N186" t="s">
        <v>350</v>
      </c>
      <c r="Q186" t="s">
        <v>900</v>
      </c>
      <c r="R186" t="s">
        <v>380</v>
      </c>
      <c r="S186" t="s">
        <v>147</v>
      </c>
      <c r="T186" t="s">
        <v>147</v>
      </c>
    </row>
    <row r="187">
      <c r="A187" t="str">
        <f>_xlfn.CONCAT(TBL_Sedes[[#This Row],[Ciudad]]," ",TBL_Sedes[[#This Row],[Nombre de la sede]])</f>
        <v xml:space="preserve">Juan de Acosta Nodo Gastronomía y Bilingüismo</v>
      </c>
      <c r="B187">
        <v>346</v>
      </c>
      <c r="C187">
        <v>93021006</v>
      </c>
      <c r="D187" t="s">
        <v>220</v>
      </c>
      <c r="E187" t="s">
        <v>901</v>
      </c>
      <c r="F187" t="s">
        <v>902</v>
      </c>
      <c r="G187" t="s">
        <v>903</v>
      </c>
      <c r="H187" t="s">
        <v>224</v>
      </c>
      <c r="I187" t="s">
        <v>174</v>
      </c>
      <c r="J187" t="s">
        <v>689</v>
      </c>
      <c r="K187" t="s">
        <v>147</v>
      </c>
      <c r="L187" t="s">
        <v>147</v>
      </c>
      <c r="M187" t="s">
        <v>227</v>
      </c>
      <c r="N187" t="s">
        <v>244</v>
      </c>
      <c r="O187" t="s">
        <v>245</v>
      </c>
      <c r="P187">
        <v>3024012301</v>
      </c>
      <c r="Q187">
        <v>52734</v>
      </c>
    </row>
    <row r="188">
      <c r="A188" t="str">
        <f>_xlfn.CONCAT(TBL_Sedes[[#This Row],[Ciudad]]," ",TBL_Sedes[[#This Row],[Nombre de la sede]])</f>
        <v xml:space="preserve">La Calera Sede - La Calera</v>
      </c>
      <c r="B188">
        <v>93</v>
      </c>
      <c r="C188">
        <v>95121001</v>
      </c>
      <c r="D188" t="s">
        <v>370</v>
      </c>
      <c r="E188" t="s">
        <v>904</v>
      </c>
      <c r="F188" t="s">
        <v>905</v>
      </c>
      <c r="G188" t="s">
        <v>906</v>
      </c>
      <c r="H188" t="s">
        <v>173</v>
      </c>
      <c r="I188" t="s">
        <v>174</v>
      </c>
      <c r="J188" t="s">
        <v>345</v>
      </c>
      <c r="K188" t="s">
        <v>147</v>
      </c>
      <c r="L188" t="s">
        <v>147</v>
      </c>
      <c r="M188" t="s">
        <v>148</v>
      </c>
      <c r="N188" t="s">
        <v>907</v>
      </c>
      <c r="O188" t="s">
        <v>908</v>
      </c>
      <c r="P188">
        <v>3184074712</v>
      </c>
      <c r="Q188">
        <v>17852</v>
      </c>
    </row>
    <row r="189">
      <c r="A189" t="str">
        <f>_xlfn.CONCAT(TBL_Sedes[[#This Row],[Ciudad]]," ",TBL_Sedes[[#This Row],[Nombre de la sede]])</f>
        <v xml:space="preserve">La Ceja La Ceja</v>
      </c>
      <c r="B189">
        <v>151</v>
      </c>
      <c r="C189">
        <v>95031004</v>
      </c>
      <c r="D189" t="s">
        <v>152</v>
      </c>
      <c r="E189" t="s">
        <v>909</v>
      </c>
      <c r="F189" t="s">
        <v>909</v>
      </c>
      <c r="G189" t="s">
        <v>910</v>
      </c>
      <c r="H189" t="s">
        <v>173</v>
      </c>
      <c r="I189" t="s">
        <v>174</v>
      </c>
      <c r="J189" t="s">
        <v>653</v>
      </c>
      <c r="K189" t="s">
        <v>147</v>
      </c>
      <c r="L189" t="s">
        <v>147</v>
      </c>
      <c r="M189" t="s">
        <v>148</v>
      </c>
      <c r="N189" t="s">
        <v>654</v>
      </c>
      <c r="O189" t="s">
        <v>655</v>
      </c>
      <c r="P189" t="s">
        <v>656</v>
      </c>
      <c r="Q189">
        <v>44130</v>
      </c>
      <c r="R189" t="s">
        <v>151</v>
      </c>
      <c r="S189" t="s">
        <v>147</v>
      </c>
      <c r="T189" t="s">
        <v>147</v>
      </c>
    </row>
    <row r="190">
      <c r="A190" t="str">
        <f>_xlfn.CONCAT(TBL_Sedes[[#This Row],[Ciudad]]," ",TBL_Sedes[[#This Row],[Nombre de la sede]])</f>
        <v xml:space="preserve">La Dorada Centro Pecuario Y Agroempresarial</v>
      </c>
      <c r="B190">
        <v>62</v>
      </c>
      <c r="C190">
        <v>95151000</v>
      </c>
      <c r="D190" t="s">
        <v>503</v>
      </c>
      <c r="E190" t="s">
        <v>911</v>
      </c>
      <c r="F190" t="s">
        <v>912</v>
      </c>
      <c r="G190" t="s">
        <v>913</v>
      </c>
      <c r="H190" t="s">
        <v>144</v>
      </c>
      <c r="I190" t="s">
        <v>145</v>
      </c>
      <c r="J190" t="s">
        <v>146</v>
      </c>
      <c r="K190" t="s">
        <v>147</v>
      </c>
      <c r="L190" t="s">
        <v>147</v>
      </c>
      <c r="M190" t="s">
        <v>148</v>
      </c>
      <c r="N190" t="s">
        <v>914</v>
      </c>
      <c r="O190" t="s">
        <v>915</v>
      </c>
      <c r="P190">
        <v>3114435936</v>
      </c>
      <c r="Q190">
        <v>82862</v>
      </c>
      <c r="R190" t="s">
        <v>151</v>
      </c>
      <c r="S190" t="s">
        <v>147</v>
      </c>
      <c r="T190" t="s">
        <v>147</v>
      </c>
    </row>
    <row r="191">
      <c r="A191" t="str">
        <f>_xlfn.CONCAT(TBL_Sedes[[#This Row],[Ciudad]]," ",TBL_Sedes[[#This Row],[Nombre de la sede]])</f>
        <v xml:space="preserve">La Jagua De Ibirico La Jagua De Ibirico</v>
      </c>
      <c r="B191">
        <v>258</v>
      </c>
      <c r="C191">
        <v>95211003</v>
      </c>
      <c r="D191" t="s">
        <v>140</v>
      </c>
      <c r="E191" t="s">
        <v>916</v>
      </c>
      <c r="F191" t="s">
        <v>916</v>
      </c>
      <c r="G191" t="s">
        <v>917</v>
      </c>
      <c r="H191" t="s">
        <v>173</v>
      </c>
      <c r="I191" t="s">
        <v>145</v>
      </c>
      <c r="J191" t="s">
        <v>278</v>
      </c>
      <c r="K191" t="s">
        <v>147</v>
      </c>
      <c r="L191" t="s">
        <v>147</v>
      </c>
      <c r="M191" t="s">
        <v>148</v>
      </c>
      <c r="N191" t="s">
        <v>432</v>
      </c>
      <c r="O191" t="s">
        <v>433</v>
      </c>
      <c r="P191">
        <v>3157412119</v>
      </c>
      <c r="Q191">
        <v>52914</v>
      </c>
      <c r="R191" t="s">
        <v>151</v>
      </c>
      <c r="S191" t="s">
        <v>147</v>
      </c>
      <c r="T191" t="s">
        <v>147</v>
      </c>
    </row>
    <row r="192">
      <c r="A192" t="str">
        <f>_xlfn.CONCAT(TBL_Sedes[[#This Row],[Ciudad]]," ",TBL_Sedes[[#This Row],[Nombre de la sede]])</f>
        <v xml:space="preserve">La Jagua De Ibirico Sede Jagua De Ibirico</v>
      </c>
      <c r="B192">
        <v>71</v>
      </c>
      <c r="C192">
        <v>95211001</v>
      </c>
      <c r="D192" t="s">
        <v>140</v>
      </c>
      <c r="E192" t="s">
        <v>916</v>
      </c>
      <c r="F192" t="s">
        <v>918</v>
      </c>
      <c r="G192" t="s">
        <v>919</v>
      </c>
      <c r="H192" t="s">
        <v>173</v>
      </c>
      <c r="I192" t="s">
        <v>145</v>
      </c>
      <c r="J192" t="s">
        <v>147</v>
      </c>
      <c r="K192" t="s">
        <v>147</v>
      </c>
      <c r="L192" t="s">
        <v>147</v>
      </c>
      <c r="M192" t="s">
        <v>360</v>
      </c>
      <c r="N192" t="s">
        <v>432</v>
      </c>
      <c r="O192" t="s">
        <v>433</v>
      </c>
      <c r="P192">
        <v>3157412119</v>
      </c>
      <c r="Q192">
        <v>52914</v>
      </c>
    </row>
    <row r="193">
      <c r="A193" t="str">
        <f>_xlfn.CONCAT(TBL_Sedes[[#This Row],[Ciudad]]," ",TBL_Sedes[[#This Row],[Nombre de la sede]])</f>
        <v xml:space="preserve">La Mesa Subsede la Mesa</v>
      </c>
      <c r="B193">
        <v>324</v>
      </c>
      <c r="C193">
        <v>95111052</v>
      </c>
      <c r="D193" t="s">
        <v>370</v>
      </c>
      <c r="E193" t="s">
        <v>920</v>
      </c>
      <c r="F193" t="s">
        <v>921</v>
      </c>
      <c r="G193" t="s">
        <v>922</v>
      </c>
      <c r="H193" t="s">
        <v>173</v>
      </c>
      <c r="I193" t="s">
        <v>174</v>
      </c>
      <c r="J193" t="s">
        <v>617</v>
      </c>
      <c r="K193" t="s">
        <v>165</v>
      </c>
      <c r="L193" t="s">
        <v>165</v>
      </c>
      <c r="M193" t="s">
        <v>148</v>
      </c>
      <c r="N193" t="s">
        <v>814</v>
      </c>
      <c r="O193" t="s">
        <v>815</v>
      </c>
      <c r="P193" t="s">
        <v>816</v>
      </c>
      <c r="R193" t="s">
        <v>380</v>
      </c>
      <c r="S193" t="s">
        <v>147</v>
      </c>
      <c r="T193" t="s">
        <v>147</v>
      </c>
    </row>
    <row r="194">
      <c r="A194" t="str">
        <f>_xlfn.CONCAT(TBL_Sedes[[#This Row],[Ciudad]]," ",TBL_Sedes[[#This Row],[Nombre de la sede]])</f>
        <v xml:space="preserve">La Mojana Centro de Formación Agropecuarias SENA La Mojana</v>
      </c>
      <c r="B194">
        <v>350</v>
      </c>
      <c r="C194">
        <v>95421004</v>
      </c>
      <c r="D194" t="s">
        <v>663</v>
      </c>
      <c r="E194" t="s">
        <v>923</v>
      </c>
      <c r="F194" t="s">
        <v>924</v>
      </c>
      <c r="G194" t="s">
        <v>925</v>
      </c>
      <c r="H194" t="s">
        <v>224</v>
      </c>
      <c r="I194" t="s">
        <v>174</v>
      </c>
      <c r="J194" t="s">
        <v>689</v>
      </c>
      <c r="K194" t="s">
        <v>147</v>
      </c>
      <c r="L194" t="s">
        <v>147</v>
      </c>
      <c r="M194" t="s">
        <v>227</v>
      </c>
      <c r="N194" t="s">
        <v>926</v>
      </c>
      <c r="O194" t="s">
        <v>668</v>
      </c>
      <c r="P194">
        <v>3123138629</v>
      </c>
      <c r="Q194">
        <v>54527</v>
      </c>
    </row>
    <row r="195">
      <c r="A195" t="str">
        <f>_xlfn.CONCAT(TBL_Sedes[[#This Row],[Ciudad]]," ",TBL_Sedes[[#This Row],[Nombre de la sede]])</f>
        <v xml:space="preserve">La Plata Centro De Desarrollo Agroempresarial Y Turístico Del Huila</v>
      </c>
      <c r="B195">
        <v>103</v>
      </c>
      <c r="C195">
        <v>95261000</v>
      </c>
      <c r="D195" t="s">
        <v>574</v>
      </c>
      <c r="E195" t="s">
        <v>927</v>
      </c>
      <c r="F195" t="s">
        <v>928</v>
      </c>
      <c r="G195" t="s">
        <v>929</v>
      </c>
      <c r="H195" t="s">
        <v>144</v>
      </c>
      <c r="I195" t="s">
        <v>145</v>
      </c>
      <c r="J195" t="s">
        <v>454</v>
      </c>
      <c r="K195" t="s">
        <v>930</v>
      </c>
      <c r="L195" t="s">
        <v>147</v>
      </c>
      <c r="M195" t="s">
        <v>148</v>
      </c>
      <c r="N195" t="s">
        <v>931</v>
      </c>
      <c r="O195" t="s">
        <v>932</v>
      </c>
      <c r="P195" t="s">
        <v>933</v>
      </c>
      <c r="Q195">
        <v>83726</v>
      </c>
      <c r="R195" t="s">
        <v>151</v>
      </c>
      <c r="S195" t="s">
        <v>147</v>
      </c>
      <c r="T195" t="s">
        <v>147</v>
      </c>
    </row>
    <row r="196">
      <c r="A196" t="str">
        <f>_xlfn.CONCAT(TBL_Sedes[[#This Row],[Ciudad]]," ",TBL_Sedes[[#This Row],[Nombre de la sede]])</f>
        <v xml:space="preserve">La Primavera Sede La Primavera</v>
      </c>
      <c r="B196">
        <v>239</v>
      </c>
      <c r="C196">
        <v>95311050</v>
      </c>
      <c r="D196" t="s">
        <v>693</v>
      </c>
      <c r="E196" t="s">
        <v>934</v>
      </c>
      <c r="F196" t="s">
        <v>935</v>
      </c>
      <c r="G196" t="s">
        <v>936</v>
      </c>
      <c r="H196" t="s">
        <v>217</v>
      </c>
      <c r="I196" t="s">
        <v>174</v>
      </c>
      <c r="J196" t="s">
        <v>206</v>
      </c>
      <c r="K196" t="s">
        <v>200</v>
      </c>
      <c r="L196" t="s">
        <v>218</v>
      </c>
      <c r="M196" t="s">
        <v>148</v>
      </c>
      <c r="N196" t="s">
        <v>937</v>
      </c>
      <c r="O196" t="s">
        <v>938</v>
      </c>
      <c r="P196" t="s">
        <v>939</v>
      </c>
      <c r="Q196">
        <v>44402</v>
      </c>
      <c r="R196" t="s">
        <v>151</v>
      </c>
      <c r="S196" t="s">
        <v>147</v>
      </c>
      <c r="T196" t="s">
        <v>147</v>
      </c>
    </row>
    <row r="197">
      <c r="A197" t="str">
        <f>_xlfn.CONCAT(TBL_Sedes[[#This Row],[Ciudad]]," ",TBL_Sedes[[#This Row],[Nombre de la sede]])</f>
        <v xml:space="preserve">La Unión  Sede La Union Nariño</v>
      </c>
      <c r="B197">
        <v>218</v>
      </c>
      <c r="C197">
        <v>95361002</v>
      </c>
      <c r="D197" t="s">
        <v>871</v>
      </c>
      <c r="E197" t="s">
        <v>940</v>
      </c>
      <c r="F197" t="s">
        <v>941</v>
      </c>
      <c r="G197" t="s">
        <v>942</v>
      </c>
      <c r="H197" t="s">
        <v>173</v>
      </c>
      <c r="I197" t="s">
        <v>174</v>
      </c>
      <c r="J197" t="s">
        <v>193</v>
      </c>
      <c r="K197" t="s">
        <v>147</v>
      </c>
      <c r="L197" t="s">
        <v>147</v>
      </c>
      <c r="M197" t="s">
        <v>148</v>
      </c>
      <c r="N197" t="s">
        <v>943</v>
      </c>
      <c r="O197" t="s">
        <v>944</v>
      </c>
      <c r="P197">
        <v>3185699855</v>
      </c>
      <c r="Q197">
        <v>72032</v>
      </c>
      <c r="R197" t="s">
        <v>151</v>
      </c>
      <c r="S197" t="s">
        <v>147</v>
      </c>
      <c r="T197" t="s">
        <v>147</v>
      </c>
    </row>
    <row r="198">
      <c r="A198" t="str">
        <f>_xlfn.CONCAT(TBL_Sedes[[#This Row],[Ciudad]]," ",TBL_Sedes[[#This Row],[Nombre de la sede]])</f>
        <v xml:space="preserve">Ladera Sede Ladera</v>
      </c>
      <c r="B198">
        <v>270</v>
      </c>
      <c r="C198">
        <v>93111003</v>
      </c>
      <c r="D198" t="s">
        <v>487</v>
      </c>
      <c r="E198" t="s">
        <v>945</v>
      </c>
      <c r="F198" t="s">
        <v>946</v>
      </c>
      <c r="G198" t="s">
        <v>947</v>
      </c>
      <c r="H198" t="s">
        <v>173</v>
      </c>
      <c r="I198" t="s">
        <v>174</v>
      </c>
      <c r="J198" t="s">
        <v>259</v>
      </c>
      <c r="K198" t="s">
        <v>147</v>
      </c>
      <c r="L198" t="s">
        <v>147</v>
      </c>
      <c r="M198" t="s">
        <v>148</v>
      </c>
      <c r="N198" t="s">
        <v>537</v>
      </c>
      <c r="O198" t="s">
        <v>538</v>
      </c>
      <c r="P198">
        <v>3004139722</v>
      </c>
      <c r="Q198">
        <v>22810</v>
      </c>
    </row>
    <row r="199">
      <c r="A199" t="str">
        <f>_xlfn.CONCAT(TBL_Sedes[[#This Row],[Ciudad]]," ",TBL_Sedes[[#This Row],[Nombre de la sede]])</f>
        <v xml:space="preserve">Leticia Centro Para La Biodiversidad Y El Turismo Del Amazonas</v>
      </c>
      <c r="B199">
        <v>195</v>
      </c>
      <c r="C199">
        <v>95171000</v>
      </c>
      <c r="D199" t="s">
        <v>948</v>
      </c>
      <c r="E199" t="s">
        <v>949</v>
      </c>
      <c r="F199" t="s">
        <v>950</v>
      </c>
      <c r="G199" t="s">
        <v>951</v>
      </c>
      <c r="H199" t="s">
        <v>144</v>
      </c>
      <c r="I199" t="s">
        <v>156</v>
      </c>
      <c r="J199" t="s">
        <v>206</v>
      </c>
      <c r="K199" t="s">
        <v>218</v>
      </c>
      <c r="L199" t="s">
        <v>147</v>
      </c>
      <c r="M199" t="s">
        <v>148</v>
      </c>
      <c r="N199" t="s">
        <v>952</v>
      </c>
      <c r="O199" t="s">
        <v>953</v>
      </c>
      <c r="P199">
        <v>3134413563</v>
      </c>
      <c r="Q199">
        <v>85214</v>
      </c>
      <c r="R199" t="s">
        <v>338</v>
      </c>
    </row>
    <row r="200">
      <c r="A200" t="str">
        <f>_xlfn.CONCAT(TBL_Sedes[[#This Row],[Ciudad]]," ",TBL_Sedes[[#This Row],[Nombre de la sede]])</f>
        <v xml:space="preserve">Leticia Regional Amazonas</v>
      </c>
      <c r="B200">
        <v>175</v>
      </c>
      <c r="C200">
        <v>10109100</v>
      </c>
      <c r="D200" t="s">
        <v>948</v>
      </c>
      <c r="E200" t="s">
        <v>949</v>
      </c>
      <c r="F200" t="s">
        <v>954</v>
      </c>
      <c r="G200" t="s">
        <v>955</v>
      </c>
      <c r="H200" t="s">
        <v>122</v>
      </c>
      <c r="I200" t="s">
        <v>156</v>
      </c>
      <c r="J200" t="s">
        <v>206</v>
      </c>
      <c r="K200" t="s">
        <v>218</v>
      </c>
      <c r="L200" t="s">
        <v>147</v>
      </c>
      <c r="M200" t="s">
        <v>148</v>
      </c>
      <c r="N200" t="s">
        <v>952</v>
      </c>
      <c r="O200" t="s">
        <v>953</v>
      </c>
      <c r="P200">
        <v>3134413563</v>
      </c>
      <c r="Q200">
        <v>85214</v>
      </c>
      <c r="R200" t="s">
        <v>151</v>
      </c>
      <c r="S200" t="s">
        <v>147</v>
      </c>
      <c r="T200" t="s">
        <v>147</v>
      </c>
    </row>
    <row r="201">
      <c r="A201" t="str">
        <f>_xlfn.CONCAT(TBL_Sedes[[#This Row],[Ciudad]]," ",TBL_Sedes[[#This Row],[Nombre de la sede]])</f>
        <v xml:space="preserve">Lorica Sede - Lorica</v>
      </c>
      <c r="B201">
        <v>76</v>
      </c>
      <c r="C201">
        <v>95231001</v>
      </c>
      <c r="D201" t="s">
        <v>956</v>
      </c>
      <c r="E201" t="s">
        <v>957</v>
      </c>
      <c r="F201" t="s">
        <v>958</v>
      </c>
      <c r="G201" t="s">
        <v>959</v>
      </c>
      <c r="H201" t="s">
        <v>173</v>
      </c>
      <c r="I201" t="s">
        <v>174</v>
      </c>
      <c r="J201" t="s">
        <v>165</v>
      </c>
      <c r="K201" t="s">
        <v>147</v>
      </c>
      <c r="L201" t="s">
        <v>147</v>
      </c>
      <c r="M201" t="s">
        <v>148</v>
      </c>
      <c r="N201" t="s">
        <v>960</v>
      </c>
      <c r="O201" t="s">
        <v>961</v>
      </c>
      <c r="P201">
        <v>3156830542</v>
      </c>
      <c r="Q201">
        <v>53399</v>
      </c>
      <c r="R201" t="s">
        <v>151</v>
      </c>
      <c r="S201" t="s">
        <v>147</v>
      </c>
      <c r="T201" t="s">
        <v>147</v>
      </c>
    </row>
    <row r="202">
      <c r="A202" t="str">
        <f>_xlfn.CONCAT(TBL_Sedes[[#This Row],[Ciudad]]," ",TBL_Sedes[[#This Row],[Nombre de la sede]])</f>
        <v xml:space="preserve">Los Patios Los Patios</v>
      </c>
      <c r="B202">
        <v>259</v>
      </c>
      <c r="C202">
        <v>95371005</v>
      </c>
      <c r="D202" t="s">
        <v>671</v>
      </c>
      <c r="E202" t="s">
        <v>962</v>
      </c>
      <c r="F202" t="s">
        <v>962</v>
      </c>
      <c r="G202" t="s">
        <v>963</v>
      </c>
      <c r="H202" t="s">
        <v>173</v>
      </c>
      <c r="I202" t="s">
        <v>174</v>
      </c>
      <c r="J202" t="s">
        <v>199</v>
      </c>
      <c r="K202" t="s">
        <v>218</v>
      </c>
      <c r="L202" t="s">
        <v>147</v>
      </c>
      <c r="M202" t="s">
        <v>148</v>
      </c>
      <c r="N202" t="s">
        <v>675</v>
      </c>
      <c r="O202" t="s">
        <v>676</v>
      </c>
      <c r="P202">
        <v>3167060186</v>
      </c>
      <c r="Q202">
        <v>72575</v>
      </c>
      <c r="R202" t="s">
        <v>380</v>
      </c>
      <c r="S202" t="s">
        <v>147</v>
      </c>
      <c r="T202" t="s">
        <v>147</v>
      </c>
    </row>
    <row r="203">
      <c r="A203" t="str">
        <f>_xlfn.CONCAT(TBL_Sedes[[#This Row],[Ciudad]]," ",TBL_Sedes[[#This Row],[Nombre de la sede]])</f>
        <v xml:space="preserve">Luruaco  Ecoturismo</v>
      </c>
      <c r="B203">
        <v>353</v>
      </c>
      <c r="C203">
        <v>91031003</v>
      </c>
      <c r="D203" t="s">
        <v>220</v>
      </c>
      <c r="E203" t="s">
        <v>964</v>
      </c>
      <c r="F203" t="s">
        <v>965</v>
      </c>
      <c r="G203" t="s">
        <v>966</v>
      </c>
      <c r="H203" t="s">
        <v>224</v>
      </c>
      <c r="I203" t="s">
        <v>174</v>
      </c>
      <c r="J203" t="s">
        <v>967</v>
      </c>
      <c r="K203" t="s">
        <v>967</v>
      </c>
      <c r="L203" t="s">
        <v>147</v>
      </c>
      <c r="M203" t="s">
        <v>227</v>
      </c>
      <c r="N203" t="s">
        <v>244</v>
      </c>
      <c r="O203" t="s">
        <v>245</v>
      </c>
      <c r="P203">
        <v>3024012301</v>
      </c>
      <c r="Q203">
        <v>52734</v>
      </c>
    </row>
    <row r="204">
      <c r="A204" t="str">
        <f>_xlfn.CONCAT(TBL_Sedes[[#This Row],[Ciudad]]," ",TBL_Sedes[[#This Row],[Nombre de la sede]])</f>
        <v xml:space="preserve">Maicao Centro Industrial Y De Energías Alternativas Sede Maicao</v>
      </c>
      <c r="B204">
        <v>108</v>
      </c>
      <c r="C204">
        <v>92221002</v>
      </c>
      <c r="D204" t="s">
        <v>770</v>
      </c>
      <c r="E204" t="s">
        <v>968</v>
      </c>
      <c r="F204" t="s">
        <v>969</v>
      </c>
      <c r="G204" t="s">
        <v>970</v>
      </c>
      <c r="H204" t="s">
        <v>173</v>
      </c>
      <c r="I204" t="s">
        <v>174</v>
      </c>
      <c r="J204" t="s">
        <v>193</v>
      </c>
      <c r="K204" t="s">
        <v>147</v>
      </c>
      <c r="L204" t="s">
        <v>147</v>
      </c>
      <c r="M204" t="s">
        <v>148</v>
      </c>
      <c r="N204" t="s">
        <v>971</v>
      </c>
      <c r="O204" t="s">
        <v>972</v>
      </c>
      <c r="P204">
        <v>3007910157</v>
      </c>
      <c r="Q204">
        <v>53559</v>
      </c>
      <c r="R204" t="s">
        <v>151</v>
      </c>
      <c r="S204" t="s">
        <v>147</v>
      </c>
      <c r="T204" t="s">
        <v>147</v>
      </c>
    </row>
    <row r="205">
      <c r="A205" t="str">
        <f>_xlfn.CONCAT(TBL_Sedes[[#This Row],[Ciudad]]," ",TBL_Sedes[[#This Row],[Nombre de la sede]])</f>
        <v xml:space="preserve">Málaga Centro Agroempresarial Y Turístico De Los Andes</v>
      </c>
      <c r="B205">
        <v>146</v>
      </c>
      <c r="C205">
        <v>95451000</v>
      </c>
      <c r="D205" t="s">
        <v>230</v>
      </c>
      <c r="E205" t="s">
        <v>973</v>
      </c>
      <c r="F205" t="s">
        <v>974</v>
      </c>
      <c r="G205" t="s">
        <v>975</v>
      </c>
      <c r="H205" t="s">
        <v>144</v>
      </c>
      <c r="I205" t="s">
        <v>145</v>
      </c>
      <c r="J205" t="s">
        <v>617</v>
      </c>
      <c r="K205" t="s">
        <v>147</v>
      </c>
      <c r="L205" t="s">
        <v>147</v>
      </c>
      <c r="M205" t="s">
        <v>148</v>
      </c>
      <c r="N205" t="s">
        <v>976</v>
      </c>
      <c r="O205" t="s">
        <v>977</v>
      </c>
      <c r="P205">
        <v>3233069708</v>
      </c>
      <c r="Q205">
        <v>74006</v>
      </c>
      <c r="R205" t="s">
        <v>151</v>
      </c>
      <c r="S205" t="s">
        <v>147</v>
      </c>
      <c r="T205" t="s">
        <v>147</v>
      </c>
    </row>
    <row r="206">
      <c r="A206" t="str">
        <f>_xlfn.CONCAT(TBL_Sedes[[#This Row],[Ciudad]]," ",TBL_Sedes[[#This Row],[Nombre de la sede]])</f>
        <v xml:space="preserve">Málaga Instituto Técnico Industrial</v>
      </c>
      <c r="B206">
        <v>340</v>
      </c>
      <c r="C206">
        <v>95451051</v>
      </c>
      <c r="D206" t="s">
        <v>230</v>
      </c>
      <c r="E206" t="s">
        <v>973</v>
      </c>
      <c r="F206" t="s">
        <v>978</v>
      </c>
      <c r="G206" t="s">
        <v>979</v>
      </c>
      <c r="H206" t="s">
        <v>217</v>
      </c>
      <c r="I206" t="s">
        <v>174</v>
      </c>
      <c r="J206" t="s">
        <v>980</v>
      </c>
      <c r="K206" t="s">
        <v>147</v>
      </c>
      <c r="L206" t="s">
        <v>147</v>
      </c>
      <c r="M206" t="s">
        <v>148</v>
      </c>
      <c r="N206" t="s">
        <v>976</v>
      </c>
      <c r="O206" t="s">
        <v>977</v>
      </c>
      <c r="P206">
        <v>3202699725</v>
      </c>
      <c r="Q206">
        <v>74006</v>
      </c>
      <c r="S206" t="s">
        <v>981</v>
      </c>
      <c r="T206" t="s">
        <v>182</v>
      </c>
    </row>
    <row r="207">
      <c r="A207" t="str">
        <f>_xlfn.CONCAT(TBL_Sedes[[#This Row],[Ciudad]]," ",TBL_Sedes[[#This Row],[Nombre de la sede]])</f>
        <v xml:space="preserve">Málaga Sede Apoyo de Formación Málaga</v>
      </c>
      <c r="B207">
        <v>359</v>
      </c>
      <c r="C207">
        <v>95451005</v>
      </c>
      <c r="D207" t="s">
        <v>230</v>
      </c>
      <c r="E207" t="s">
        <v>973</v>
      </c>
      <c r="F207" t="s">
        <v>982</v>
      </c>
      <c r="G207" t="s">
        <v>983</v>
      </c>
      <c r="H207" t="s">
        <v>224</v>
      </c>
      <c r="I207" t="s">
        <v>174</v>
      </c>
      <c r="J207" t="s">
        <v>541</v>
      </c>
      <c r="K207" t="s">
        <v>541</v>
      </c>
      <c r="L207" t="s">
        <v>147</v>
      </c>
      <c r="M207" t="s">
        <v>148</v>
      </c>
      <c r="N207" t="s">
        <v>976</v>
      </c>
      <c r="O207" t="s">
        <v>977</v>
      </c>
      <c r="P207">
        <v>3233069708</v>
      </c>
      <c r="Q207">
        <v>74006</v>
      </c>
      <c r="R207" t="s">
        <v>168</v>
      </c>
      <c r="S207" t="s">
        <v>981</v>
      </c>
      <c r="T207" t="s">
        <v>170</v>
      </c>
    </row>
    <row r="208">
      <c r="A208" t="str">
        <f>_xlfn.CONCAT(TBL_Sedes[[#This Row],[Ciudad]]," ",TBL_Sedes[[#This Row],[Nombre de la sede]])</f>
        <v xml:space="preserve">Málaga Sede Granja Los Andes </v>
      </c>
      <c r="B208">
        <v>147</v>
      </c>
      <c r="C208">
        <v>95451001</v>
      </c>
      <c r="D208" t="s">
        <v>230</v>
      </c>
      <c r="E208" t="s">
        <v>973</v>
      </c>
      <c r="F208" t="s">
        <v>984</v>
      </c>
      <c r="G208" t="s">
        <v>985</v>
      </c>
      <c r="H208" t="s">
        <v>173</v>
      </c>
      <c r="I208" t="s">
        <v>174</v>
      </c>
      <c r="J208" t="s">
        <v>193</v>
      </c>
      <c r="K208" t="s">
        <v>986</v>
      </c>
      <c r="L208" t="s">
        <v>147</v>
      </c>
      <c r="M208" t="s">
        <v>148</v>
      </c>
      <c r="N208" t="s">
        <v>976</v>
      </c>
      <c r="O208" t="s">
        <v>977</v>
      </c>
      <c r="P208">
        <v>3233069708</v>
      </c>
      <c r="Q208">
        <v>74006</v>
      </c>
      <c r="R208" t="s">
        <v>151</v>
      </c>
      <c r="S208" t="s">
        <v>147</v>
      </c>
      <c r="T208" t="s">
        <v>147</v>
      </c>
    </row>
    <row r="209">
      <c r="A209" t="str">
        <f>_xlfn.CONCAT(TBL_Sedes[[#This Row],[Ciudad]]," ",TBL_Sedes[[#This Row],[Nombre de la sede]])</f>
        <v xml:space="preserve">Málaga Subsede</v>
      </c>
      <c r="B209">
        <v>339</v>
      </c>
      <c r="C209">
        <v>95451050</v>
      </c>
      <c r="D209" t="s">
        <v>230</v>
      </c>
      <c r="E209" t="s">
        <v>973</v>
      </c>
      <c r="F209" t="s">
        <v>465</v>
      </c>
      <c r="G209" t="s">
        <v>987</v>
      </c>
      <c r="H209" t="s">
        <v>217</v>
      </c>
      <c r="I209" t="s">
        <v>174</v>
      </c>
      <c r="J209" t="s">
        <v>193</v>
      </c>
      <c r="K209" t="s">
        <v>147</v>
      </c>
      <c r="L209" t="s">
        <v>147</v>
      </c>
      <c r="M209" t="s">
        <v>148</v>
      </c>
      <c r="N209" t="s">
        <v>976</v>
      </c>
      <c r="O209" t="s">
        <v>977</v>
      </c>
      <c r="P209">
        <v>3202699725</v>
      </c>
      <c r="Q209">
        <v>74006</v>
      </c>
    </row>
    <row r="210">
      <c r="A210" t="str">
        <f>_xlfn.CONCAT(TBL_Sedes[[#This Row],[Ciudad]]," ",TBL_Sedes[[#This Row],[Nombre de la sede]])</f>
        <v xml:space="preserve">Malambo Sede Centro Nacional Colombo Alemán - Malambo</v>
      </c>
      <c r="B210">
        <v>274</v>
      </c>
      <c r="C210">
        <v>92071003</v>
      </c>
      <c r="D210" t="s">
        <v>220</v>
      </c>
      <c r="E210" t="s">
        <v>988</v>
      </c>
      <c r="F210" t="s">
        <v>989</v>
      </c>
      <c r="G210" t="s">
        <v>990</v>
      </c>
      <c r="H210" t="s">
        <v>173</v>
      </c>
      <c r="I210" t="s">
        <v>145</v>
      </c>
      <c r="J210" t="s">
        <v>259</v>
      </c>
      <c r="K210" t="s">
        <v>147</v>
      </c>
      <c r="L210" t="s">
        <v>147</v>
      </c>
      <c r="M210" t="s">
        <v>148</v>
      </c>
      <c r="N210" t="s">
        <v>244</v>
      </c>
      <c r="O210" t="s">
        <v>245</v>
      </c>
      <c r="P210">
        <v>3024012301</v>
      </c>
      <c r="Q210">
        <v>52734</v>
      </c>
      <c r="R210" t="s">
        <v>151</v>
      </c>
      <c r="S210" t="s">
        <v>147</v>
      </c>
      <c r="T210" t="s">
        <v>147</v>
      </c>
    </row>
    <row r="211">
      <c r="A211" t="str">
        <f>_xlfn.CONCAT(TBL_Sedes[[#This Row],[Ciudad]]," ",TBL_Sedes[[#This Row],[Nombre de la sede]])</f>
        <v xml:space="preserve">Manizales Centro De Automatización Industrial</v>
      </c>
      <c r="B211" t="s">
        <v>991</v>
      </c>
      <c r="C211">
        <v>92191000</v>
      </c>
      <c r="D211" t="s">
        <v>503</v>
      </c>
      <c r="E211" t="s">
        <v>992</v>
      </c>
      <c r="F211" t="s">
        <v>993</v>
      </c>
      <c r="G211" t="s">
        <v>994</v>
      </c>
      <c r="H211" t="s">
        <v>144</v>
      </c>
      <c r="I211" t="s">
        <v>156</v>
      </c>
      <c r="J211" t="s">
        <v>530</v>
      </c>
      <c r="K211" t="s">
        <v>147</v>
      </c>
      <c r="L211" t="s">
        <v>147</v>
      </c>
      <c r="M211" t="s">
        <v>148</v>
      </c>
      <c r="N211" t="s">
        <v>995</v>
      </c>
      <c r="O211" t="s">
        <v>996</v>
      </c>
      <c r="P211">
        <v>3244810155</v>
      </c>
      <c r="Q211">
        <v>62449</v>
      </c>
      <c r="R211" t="s">
        <v>338</v>
      </c>
    </row>
    <row r="212">
      <c r="A212" t="str">
        <f>_xlfn.CONCAT(TBL_Sedes[[#This Row],[Ciudad]]," ",TBL_Sedes[[#This Row],[Nombre de la sede]])</f>
        <v xml:space="preserve">Manizales Centro De Comercio Y Servicios</v>
      </c>
      <c r="B212" t="s">
        <v>997</v>
      </c>
      <c r="C212">
        <v>93061000</v>
      </c>
      <c r="D212" t="s">
        <v>503</v>
      </c>
      <c r="E212" t="s">
        <v>992</v>
      </c>
      <c r="F212" t="s">
        <v>242</v>
      </c>
      <c r="G212" t="s">
        <v>994</v>
      </c>
      <c r="H212" t="s">
        <v>144</v>
      </c>
      <c r="I212" t="s">
        <v>156</v>
      </c>
      <c r="J212" t="s">
        <v>206</v>
      </c>
      <c r="K212" t="s">
        <v>147</v>
      </c>
      <c r="L212" t="s">
        <v>147</v>
      </c>
      <c r="M212" t="s">
        <v>148</v>
      </c>
      <c r="N212" t="s">
        <v>998</v>
      </c>
      <c r="O212" t="s">
        <v>999</v>
      </c>
      <c r="P212" t="s">
        <v>1000</v>
      </c>
      <c r="Q212">
        <v>62085</v>
      </c>
    </row>
    <row r="213">
      <c r="A213" t="str">
        <f>_xlfn.CONCAT(TBL_Sedes[[#This Row],[Ciudad]]," ",TBL_Sedes[[#This Row],[Nombre de la sede]])</f>
        <v xml:space="preserve">Manizales Centro De Procesos Industriales Y Construcción</v>
      </c>
      <c r="B213" t="s">
        <v>1001</v>
      </c>
      <c r="C213">
        <v>92201000</v>
      </c>
      <c r="D213" t="s">
        <v>503</v>
      </c>
      <c r="E213" t="s">
        <v>992</v>
      </c>
      <c r="F213" t="s">
        <v>1002</v>
      </c>
      <c r="G213" t="s">
        <v>1003</v>
      </c>
      <c r="H213" t="s">
        <v>144</v>
      </c>
      <c r="I213" t="s">
        <v>156</v>
      </c>
      <c r="J213" t="s">
        <v>206</v>
      </c>
      <c r="K213" t="s">
        <v>147</v>
      </c>
      <c r="L213" t="s">
        <v>147</v>
      </c>
      <c r="M213" t="s">
        <v>148</v>
      </c>
      <c r="N213" t="s">
        <v>1004</v>
      </c>
      <c r="O213" t="s">
        <v>1005</v>
      </c>
      <c r="P213">
        <v>3103700006</v>
      </c>
      <c r="Q213">
        <v>62295</v>
      </c>
      <c r="R213" t="s">
        <v>151</v>
      </c>
      <c r="S213" t="s">
        <v>147</v>
      </c>
      <c r="T213" t="s">
        <v>147</v>
      </c>
    </row>
    <row r="214">
      <c r="A214" t="str">
        <f>_xlfn.CONCAT(TBL_Sedes[[#This Row],[Ciudad]]," ",TBL_Sedes[[#This Row],[Nombre de la sede]])</f>
        <v xml:space="preserve">Manizales Centro Para La Formación Cafetera</v>
      </c>
      <c r="B214" t="s">
        <v>1006</v>
      </c>
      <c r="C214">
        <v>91121000</v>
      </c>
      <c r="D214" t="s">
        <v>503</v>
      </c>
      <c r="E214" t="s">
        <v>992</v>
      </c>
      <c r="F214" t="s">
        <v>1007</v>
      </c>
      <c r="G214" t="s">
        <v>994</v>
      </c>
      <c r="H214" t="s">
        <v>144</v>
      </c>
      <c r="I214" t="s">
        <v>156</v>
      </c>
      <c r="J214" t="s">
        <v>530</v>
      </c>
      <c r="K214" t="s">
        <v>147</v>
      </c>
      <c r="L214" t="s">
        <v>147</v>
      </c>
      <c r="M214" t="s">
        <v>148</v>
      </c>
      <c r="N214" t="s">
        <v>624</v>
      </c>
      <c r="O214" t="s">
        <v>625</v>
      </c>
      <c r="P214">
        <v>3117177778</v>
      </c>
      <c r="Q214">
        <v>62111</v>
      </c>
    </row>
    <row r="215">
      <c r="A215" t="str">
        <f>_xlfn.CONCAT(TBL_Sedes[[#This Row],[Ciudad]]," ",TBL_Sedes[[#This Row],[Nombre de la sede]])</f>
        <v xml:space="preserve">Manizales Regional Caldas</v>
      </c>
      <c r="B215">
        <v>59</v>
      </c>
      <c r="C215">
        <v>10101700</v>
      </c>
      <c r="D215" t="s">
        <v>503</v>
      </c>
      <c r="E215" t="s">
        <v>992</v>
      </c>
      <c r="F215" t="s">
        <v>1008</v>
      </c>
      <c r="G215" t="s">
        <v>994</v>
      </c>
      <c r="H215" t="s">
        <v>122</v>
      </c>
      <c r="I215" t="s">
        <v>156</v>
      </c>
      <c r="J215" t="s">
        <v>1009</v>
      </c>
      <c r="K215" t="s">
        <v>147</v>
      </c>
      <c r="L215" t="s">
        <v>147</v>
      </c>
      <c r="M215" t="s">
        <v>148</v>
      </c>
      <c r="N215" t="s">
        <v>1010</v>
      </c>
      <c r="O215" t="s">
        <v>1011</v>
      </c>
      <c r="P215">
        <v>0</v>
      </c>
      <c r="Q215">
        <v>63750</v>
      </c>
    </row>
    <row r="216">
      <c r="A216" t="str">
        <f>_xlfn.CONCAT(TBL_Sedes[[#This Row],[Ciudad]]," ",TBL_Sedes[[#This Row],[Nombre de la sede]])</f>
        <v xml:space="preserve">Manizales Servicio Medico Asistencial</v>
      </c>
      <c r="B216">
        <v>246</v>
      </c>
      <c r="C216">
        <v>10101702</v>
      </c>
      <c r="D216" t="s">
        <v>503</v>
      </c>
      <c r="E216" t="s">
        <v>992</v>
      </c>
      <c r="F216" t="s">
        <v>1012</v>
      </c>
      <c r="G216" t="s">
        <v>1013</v>
      </c>
      <c r="H216" t="s">
        <v>173</v>
      </c>
      <c r="I216" t="s">
        <v>174</v>
      </c>
      <c r="J216" t="s">
        <v>513</v>
      </c>
      <c r="K216" t="s">
        <v>147</v>
      </c>
      <c r="L216" t="s">
        <v>147</v>
      </c>
      <c r="M216" t="s">
        <v>148</v>
      </c>
      <c r="N216" t="s">
        <v>1010</v>
      </c>
      <c r="O216" t="s">
        <v>1011</v>
      </c>
      <c r="P216">
        <v>0</v>
      </c>
      <c r="Q216">
        <v>63750</v>
      </c>
      <c r="R216" t="s">
        <v>338</v>
      </c>
    </row>
    <row r="217">
      <c r="A217" t="str">
        <f>_xlfn.CONCAT(TBL_Sedes[[#This Row],[Ciudad]]," ",TBL_Sedes[[#This Row],[Nombre de la sede]])</f>
        <v xml:space="preserve">Manizales Spe Manizales</v>
      </c>
      <c r="B217">
        <v>60</v>
      </c>
      <c r="C217">
        <v>10101701</v>
      </c>
      <c r="D217" t="s">
        <v>503</v>
      </c>
      <c r="E217" t="s">
        <v>992</v>
      </c>
      <c r="F217" t="s">
        <v>1014</v>
      </c>
      <c r="G217" t="s">
        <v>1015</v>
      </c>
      <c r="H217" t="s">
        <v>173</v>
      </c>
      <c r="I217" t="s">
        <v>174</v>
      </c>
      <c r="J217" t="s">
        <v>513</v>
      </c>
      <c r="K217" t="s">
        <v>147</v>
      </c>
      <c r="L217" t="s">
        <v>147</v>
      </c>
      <c r="M217" t="s">
        <v>148</v>
      </c>
      <c r="N217" t="s">
        <v>1010</v>
      </c>
      <c r="O217" t="s">
        <v>1011</v>
      </c>
      <c r="P217">
        <v>0</v>
      </c>
      <c r="Q217">
        <v>63750</v>
      </c>
      <c r="R217" t="s">
        <v>151</v>
      </c>
      <c r="S217" t="s">
        <v>147</v>
      </c>
      <c r="T217" t="s">
        <v>147</v>
      </c>
    </row>
    <row r="218">
      <c r="A218" t="str">
        <f>_xlfn.CONCAT(TBL_Sedes[[#This Row],[Ciudad]]," ",TBL_Sedes[[#This Row],[Nombre de la sede]])</f>
        <v xml:space="preserve">Manizales Tecnoacademia Manizales</v>
      </c>
      <c r="B218">
        <v>138</v>
      </c>
      <c r="C218">
        <v>92191001</v>
      </c>
      <c r="D218" t="s">
        <v>503</v>
      </c>
      <c r="E218" t="s">
        <v>992</v>
      </c>
      <c r="F218" t="s">
        <v>1016</v>
      </c>
      <c r="G218" t="s">
        <v>1017</v>
      </c>
      <c r="H218" t="s">
        <v>173</v>
      </c>
      <c r="I218" t="s">
        <v>145</v>
      </c>
      <c r="J218" t="s">
        <v>530</v>
      </c>
      <c r="K218" t="s">
        <v>147</v>
      </c>
      <c r="L218" t="s">
        <v>147</v>
      </c>
      <c r="M218" t="s">
        <v>148</v>
      </c>
      <c r="N218" t="s">
        <v>995</v>
      </c>
      <c r="O218" t="s">
        <v>996</v>
      </c>
      <c r="P218">
        <v>3244810155</v>
      </c>
      <c r="Q218">
        <v>62449</v>
      </c>
      <c r="R218" t="s">
        <v>338</v>
      </c>
    </row>
    <row r="219">
      <c r="A219" t="str">
        <f>_xlfn.CONCAT(TBL_Sedes[[#This Row],[Ciudad]]," ",TBL_Sedes[[#This Row],[Nombre de la sede]])</f>
        <v xml:space="preserve">Marinilla Tecnoacademia Marinilla         </v>
      </c>
      <c r="B219">
        <v>307</v>
      </c>
      <c r="C219">
        <v>95031050</v>
      </c>
      <c r="D219" t="s">
        <v>152</v>
      </c>
      <c r="E219" t="s">
        <v>1018</v>
      </c>
      <c r="F219" t="s">
        <v>1019</v>
      </c>
      <c r="G219" t="s">
        <v>1020</v>
      </c>
      <c r="H219" t="s">
        <v>217</v>
      </c>
      <c r="I219" t="s">
        <v>174</v>
      </c>
      <c r="J219" t="s">
        <v>1021</v>
      </c>
      <c r="K219" t="s">
        <v>147</v>
      </c>
      <c r="L219" t="s">
        <v>147</v>
      </c>
      <c r="M219" t="s">
        <v>148</v>
      </c>
      <c r="N219" t="s">
        <v>1022</v>
      </c>
      <c r="O219" t="s">
        <v>1023</v>
      </c>
      <c r="P219">
        <v>3015752454</v>
      </c>
    </row>
    <row r="220">
      <c r="A220" t="str">
        <f>_xlfn.CONCAT(TBL_Sedes[[#This Row],[Ciudad]]," ",TBL_Sedes[[#This Row],[Nombre de la sede]])</f>
        <v xml:space="preserve">Medellín Buenos Aires</v>
      </c>
      <c r="B220">
        <v>295</v>
      </c>
      <c r="C220">
        <v>10100502</v>
      </c>
      <c r="D220" t="s">
        <v>152</v>
      </c>
      <c r="E220" t="s">
        <v>1024</v>
      </c>
      <c r="F220" t="s">
        <v>1025</v>
      </c>
      <c r="G220" t="s">
        <v>1026</v>
      </c>
      <c r="H220" t="s">
        <v>173</v>
      </c>
      <c r="I220" t="s">
        <v>145</v>
      </c>
      <c r="J220" t="s">
        <v>278</v>
      </c>
      <c r="K220" t="s">
        <v>147</v>
      </c>
      <c r="L220" t="s">
        <v>147</v>
      </c>
      <c r="M220" t="s">
        <v>148</v>
      </c>
      <c r="N220" t="s">
        <v>1027</v>
      </c>
      <c r="O220" t="s">
        <v>1028</v>
      </c>
      <c r="P220" t="s">
        <v>1029</v>
      </c>
      <c r="Q220" t="s">
        <v>1030</v>
      </c>
      <c r="R220" t="s">
        <v>380</v>
      </c>
      <c r="S220" t="s">
        <v>147</v>
      </c>
      <c r="T220" t="s">
        <v>147</v>
      </c>
    </row>
    <row r="221">
      <c r="A221" t="str">
        <f>_xlfn.CONCAT(TBL_Sedes[[#This Row],[Ciudad]]," ",TBL_Sedes[[#This Row],[Nombre de la sede]])</f>
        <v xml:space="preserve">Medellín Centro De Comercio</v>
      </c>
      <c r="B221" t="s">
        <v>1031</v>
      </c>
      <c r="C221">
        <v>93011000</v>
      </c>
      <c r="D221" t="s">
        <v>152</v>
      </c>
      <c r="E221" t="s">
        <v>1024</v>
      </c>
      <c r="F221" t="s">
        <v>1032</v>
      </c>
      <c r="G221" t="s">
        <v>1033</v>
      </c>
      <c r="H221" t="s">
        <v>144</v>
      </c>
      <c r="I221" t="s">
        <v>156</v>
      </c>
      <c r="J221" t="s">
        <v>146</v>
      </c>
      <c r="K221" t="s">
        <v>218</v>
      </c>
      <c r="L221" t="s">
        <v>218</v>
      </c>
      <c r="M221" t="s">
        <v>194</v>
      </c>
      <c r="N221" t="s">
        <v>1034</v>
      </c>
      <c r="O221" t="s">
        <v>1035</v>
      </c>
      <c r="P221">
        <v>3044963118</v>
      </c>
      <c r="Q221">
        <v>42114</v>
      </c>
      <c r="R221" t="s">
        <v>151</v>
      </c>
      <c r="S221" t="s">
        <v>147</v>
      </c>
      <c r="T221" t="s">
        <v>147</v>
      </c>
    </row>
    <row r="222">
      <c r="A222" t="str">
        <f>_xlfn.CONCAT(TBL_Sedes[[#This Row],[Ciudad]]," ",TBL_Sedes[[#This Row],[Nombre de la sede]])</f>
        <v xml:space="preserve">Medellín Centro De Servicios De Salud</v>
      </c>
      <c r="B222" t="s">
        <v>1036</v>
      </c>
      <c r="C222">
        <v>94011000</v>
      </c>
      <c r="D222" t="s">
        <v>152</v>
      </c>
      <c r="E222" t="s">
        <v>1024</v>
      </c>
      <c r="F222" t="s">
        <v>1037</v>
      </c>
      <c r="G222" t="s">
        <v>1033</v>
      </c>
      <c r="H222" t="s">
        <v>144</v>
      </c>
      <c r="I222" t="s">
        <v>156</v>
      </c>
      <c r="J222" t="s">
        <v>1038</v>
      </c>
      <c r="K222" t="s">
        <v>218</v>
      </c>
      <c r="L222" t="s">
        <v>147</v>
      </c>
      <c r="M222" t="s">
        <v>148</v>
      </c>
      <c r="N222" t="s">
        <v>350</v>
      </c>
      <c r="O222">
        <v>0</v>
      </c>
      <c r="P222">
        <v>0</v>
      </c>
      <c r="Q222">
        <v>42040</v>
      </c>
      <c r="R222" t="s">
        <v>151</v>
      </c>
      <c r="S222" t="s">
        <v>147</v>
      </c>
      <c r="T222" t="s">
        <v>147</v>
      </c>
    </row>
    <row r="223">
      <c r="A223" t="str">
        <f>_xlfn.CONCAT(TBL_Sedes[[#This Row],[Ciudad]]," ",TBL_Sedes[[#This Row],[Nombre de la sede]])</f>
        <v xml:space="preserve">Medellín Centro De Servicios Y Gestión Empresarial </v>
      </c>
      <c r="B223" t="s">
        <v>1039</v>
      </c>
      <c r="C223">
        <v>94021000</v>
      </c>
      <c r="D223" t="s">
        <v>152</v>
      </c>
      <c r="E223" t="s">
        <v>1024</v>
      </c>
      <c r="F223" t="s">
        <v>1040</v>
      </c>
      <c r="G223" t="s">
        <v>1033</v>
      </c>
      <c r="H223" t="s">
        <v>144</v>
      </c>
      <c r="I223" t="s">
        <v>156</v>
      </c>
      <c r="J223" t="s">
        <v>146</v>
      </c>
      <c r="K223" t="s">
        <v>218</v>
      </c>
      <c r="L223" t="s">
        <v>218</v>
      </c>
      <c r="M223" t="s">
        <v>148</v>
      </c>
      <c r="N223" t="s">
        <v>1041</v>
      </c>
      <c r="O223" t="s">
        <v>1042</v>
      </c>
      <c r="P223">
        <v>3046027177</v>
      </c>
      <c r="Q223">
        <v>42096</v>
      </c>
      <c r="R223" t="s">
        <v>151</v>
      </c>
      <c r="S223" t="s">
        <v>147</v>
      </c>
      <c r="T223" t="s">
        <v>147</v>
      </c>
    </row>
    <row r="224">
      <c r="A224" t="str">
        <f>_xlfn.CONCAT(TBL_Sedes[[#This Row],[Ciudad]]," ",TBL_Sedes[[#This Row],[Nombre de la sede]])</f>
        <v xml:space="preserve">Medellín Centro De Tecnología De La Manufactura Avanzada - Complejo Pedregal</v>
      </c>
      <c r="B224" t="s">
        <v>1043</v>
      </c>
      <c r="C224">
        <v>92041000</v>
      </c>
      <c r="D224" t="s">
        <v>152</v>
      </c>
      <c r="E224" t="s">
        <v>1024</v>
      </c>
      <c r="F224" t="s">
        <v>1044</v>
      </c>
      <c r="G224" t="s">
        <v>1045</v>
      </c>
      <c r="H224" t="s">
        <v>144</v>
      </c>
      <c r="I224" t="s">
        <v>156</v>
      </c>
      <c r="J224" t="s">
        <v>165</v>
      </c>
      <c r="K224" t="s">
        <v>513</v>
      </c>
      <c r="L224" t="s">
        <v>584</v>
      </c>
      <c r="M224" t="s">
        <v>148</v>
      </c>
      <c r="N224" t="s">
        <v>1046</v>
      </c>
      <c r="O224" t="s">
        <v>1047</v>
      </c>
      <c r="P224" t="s">
        <v>1048</v>
      </c>
      <c r="Q224">
        <v>43360</v>
      </c>
    </row>
    <row r="225">
      <c r="A225" t="str">
        <f>_xlfn.CONCAT(TBL_Sedes[[#This Row],[Ciudad]]," ",TBL_Sedes[[#This Row],[Nombre de la sede]])</f>
        <v xml:space="preserve">Medellín Centro Para El Desarrollo Del Hábitat Y La Construcción</v>
      </c>
      <c r="B225">
        <v>9</v>
      </c>
      <c r="C225">
        <v>92031000</v>
      </c>
      <c r="D225" t="s">
        <v>152</v>
      </c>
      <c r="E225" t="s">
        <v>1024</v>
      </c>
      <c r="F225" t="s">
        <v>1049</v>
      </c>
      <c r="G225" t="s">
        <v>1050</v>
      </c>
      <c r="H225" t="s">
        <v>144</v>
      </c>
      <c r="I225" t="s">
        <v>156</v>
      </c>
      <c r="J225" t="s">
        <v>165</v>
      </c>
      <c r="K225" t="s">
        <v>200</v>
      </c>
      <c r="L225" t="s">
        <v>808</v>
      </c>
      <c r="M225" t="s">
        <v>148</v>
      </c>
      <c r="N225" t="s">
        <v>1051</v>
      </c>
      <c r="O225" t="s">
        <v>1052</v>
      </c>
      <c r="P225" t="s">
        <v>1053</v>
      </c>
      <c r="Q225" t="s">
        <v>1054</v>
      </c>
      <c r="R225" t="s">
        <v>151</v>
      </c>
      <c r="S225" t="s">
        <v>147</v>
      </c>
      <c r="T225" t="s">
        <v>147</v>
      </c>
    </row>
    <row r="226">
      <c r="A226" t="str">
        <f>_xlfn.CONCAT(TBL_Sedes[[#This Row],[Ciudad]]," ",TBL_Sedes[[#This Row],[Nombre de la sede]])</f>
        <v xml:space="preserve">Medellín Centro Textil Y De Gestión Industrial</v>
      </c>
      <c r="B226" t="s">
        <v>1055</v>
      </c>
      <c r="C226">
        <v>92061000</v>
      </c>
      <c r="D226" t="s">
        <v>152</v>
      </c>
      <c r="E226" t="s">
        <v>1024</v>
      </c>
      <c r="F226" t="s">
        <v>1056</v>
      </c>
      <c r="G226" t="s">
        <v>1045</v>
      </c>
      <c r="H226" t="s">
        <v>144</v>
      </c>
      <c r="I226" t="s">
        <v>156</v>
      </c>
      <c r="J226" t="s">
        <v>1057</v>
      </c>
      <c r="K226" t="s">
        <v>218</v>
      </c>
      <c r="L226" t="s">
        <v>147</v>
      </c>
      <c r="M226" t="s">
        <v>148</v>
      </c>
      <c r="N226" t="s">
        <v>829</v>
      </c>
      <c r="O226" t="s">
        <v>830</v>
      </c>
      <c r="P226">
        <v>3182124446</v>
      </c>
      <c r="Q226">
        <v>43647</v>
      </c>
    </row>
    <row r="227">
      <c r="A227" t="str">
        <f>_xlfn.CONCAT(TBL_Sedes[[#This Row],[Ciudad]]," ",TBL_Sedes[[#This Row],[Nombre de la sede]])</f>
        <v xml:space="preserve">Medellín Hub De Innovación Medellín</v>
      </c>
      <c r="B227">
        <v>304</v>
      </c>
      <c r="C227">
        <v>10100503</v>
      </c>
      <c r="D227" t="s">
        <v>152</v>
      </c>
      <c r="E227" t="s">
        <v>1024</v>
      </c>
      <c r="F227" t="s">
        <v>1058</v>
      </c>
      <c r="G227" t="s">
        <v>1059</v>
      </c>
      <c r="H227" t="s">
        <v>173</v>
      </c>
      <c r="I227" t="s">
        <v>145</v>
      </c>
      <c r="J227" t="s">
        <v>278</v>
      </c>
      <c r="K227" t="s">
        <v>147</v>
      </c>
      <c r="L227" t="s">
        <v>147</v>
      </c>
      <c r="M227" t="s">
        <v>227</v>
      </c>
      <c r="N227" t="s">
        <v>1060</v>
      </c>
      <c r="O227" t="s">
        <v>1061</v>
      </c>
      <c r="P227">
        <v>3053060000</v>
      </c>
      <c r="Q227">
        <v>73355</v>
      </c>
      <c r="R227" t="s">
        <v>338</v>
      </c>
      <c r="S227" t="s">
        <v>1062</v>
      </c>
      <c r="T227" t="s">
        <v>170</v>
      </c>
    </row>
    <row r="228">
      <c r="A228" t="str">
        <f>_xlfn.CONCAT(TBL_Sedes[[#This Row],[Ciudad]]," ",TBL_Sedes[[#This Row],[Nombre de la sede]])</f>
        <v xml:space="preserve">Medellín Megasede El Pomar</v>
      </c>
      <c r="B228">
        <v>50</v>
      </c>
      <c r="C228">
        <v>94011001</v>
      </c>
      <c r="D228" t="s">
        <v>152</v>
      </c>
      <c r="E228" t="s">
        <v>1024</v>
      </c>
      <c r="F228" t="s">
        <v>1063</v>
      </c>
      <c r="G228" t="s">
        <v>1064</v>
      </c>
      <c r="H228" t="s">
        <v>173</v>
      </c>
      <c r="I228" t="s">
        <v>156</v>
      </c>
      <c r="J228" t="s">
        <v>1009</v>
      </c>
      <c r="K228" t="s">
        <v>218</v>
      </c>
      <c r="L228" t="s">
        <v>218</v>
      </c>
      <c r="M228" t="s">
        <v>148</v>
      </c>
      <c r="N228" t="s">
        <v>350</v>
      </c>
      <c r="Q228">
        <v>42040</v>
      </c>
      <c r="R228" t="s">
        <v>151</v>
      </c>
      <c r="S228" t="s">
        <v>147</v>
      </c>
      <c r="T228" t="s">
        <v>147</v>
      </c>
    </row>
    <row r="229">
      <c r="A229" t="str">
        <f>_xlfn.CONCAT(TBL_Sedes[[#This Row],[Ciudad]]," ",TBL_Sedes[[#This Row],[Nombre de la sede]])</f>
        <v xml:space="preserve">Medellín Regional Antioquia</v>
      </c>
      <c r="B229">
        <v>2</v>
      </c>
      <c r="C229">
        <v>10100500</v>
      </c>
      <c r="D229" t="s">
        <v>152</v>
      </c>
      <c r="E229" t="s">
        <v>1024</v>
      </c>
      <c r="F229" t="s">
        <v>1065</v>
      </c>
      <c r="G229" t="s">
        <v>1033</v>
      </c>
      <c r="H229" t="s">
        <v>122</v>
      </c>
      <c r="I229" t="s">
        <v>156</v>
      </c>
      <c r="J229" t="s">
        <v>1009</v>
      </c>
      <c r="K229" t="s">
        <v>218</v>
      </c>
      <c r="L229" t="s">
        <v>218</v>
      </c>
      <c r="M229" t="s">
        <v>148</v>
      </c>
      <c r="N229" t="s">
        <v>1027</v>
      </c>
      <c r="O229" t="s">
        <v>1028</v>
      </c>
      <c r="P229" t="s">
        <v>1029</v>
      </c>
      <c r="Q229" t="s">
        <v>1066</v>
      </c>
    </row>
    <row r="230">
      <c r="A230" t="str">
        <f>_xlfn.CONCAT(TBL_Sedes[[#This Row],[Ciudad]]," ",TBL_Sedes[[#This Row],[Nombre de la sede]])</f>
        <v xml:space="preserve">Medellín Sede Alterna - Regional Antioquia</v>
      </c>
      <c r="B230">
        <v>293</v>
      </c>
      <c r="C230">
        <v>10100501</v>
      </c>
      <c r="D230" t="s">
        <v>152</v>
      </c>
      <c r="E230" t="s">
        <v>1024</v>
      </c>
      <c r="F230" t="s">
        <v>1067</v>
      </c>
      <c r="G230" t="s">
        <v>1068</v>
      </c>
      <c r="H230" t="s">
        <v>173</v>
      </c>
      <c r="I230" t="s">
        <v>174</v>
      </c>
      <c r="J230" t="s">
        <v>259</v>
      </c>
      <c r="K230" t="s">
        <v>147</v>
      </c>
      <c r="L230" t="s">
        <v>147</v>
      </c>
      <c r="M230" t="s">
        <v>360</v>
      </c>
      <c r="N230" t="s">
        <v>1069</v>
      </c>
      <c r="O230" t="s">
        <v>1070</v>
      </c>
      <c r="P230">
        <v>3012609688</v>
      </c>
      <c r="Q230">
        <v>73355</v>
      </c>
    </row>
    <row r="231">
      <c r="A231" t="str">
        <f>_xlfn.CONCAT(TBL_Sedes[[#This Row],[Ciudad]]," ",TBL_Sedes[[#This Row],[Nombre de la sede]])</f>
        <v xml:space="preserve">Medellín Sede La Inmaculada</v>
      </c>
      <c r="B231">
        <v>208</v>
      </c>
      <c r="C231">
        <v>92031002</v>
      </c>
      <c r="D231" t="s">
        <v>152</v>
      </c>
      <c r="E231" t="s">
        <v>1024</v>
      </c>
      <c r="F231" t="s">
        <v>1071</v>
      </c>
      <c r="G231" t="s">
        <v>1072</v>
      </c>
      <c r="H231" t="s">
        <v>173</v>
      </c>
      <c r="I231" t="s">
        <v>174</v>
      </c>
      <c r="J231" t="s">
        <v>653</v>
      </c>
      <c r="K231" t="s">
        <v>584</v>
      </c>
      <c r="L231" t="s">
        <v>584</v>
      </c>
      <c r="M231" t="s">
        <v>360</v>
      </c>
      <c r="N231" t="s">
        <v>1051</v>
      </c>
      <c r="O231" t="s">
        <v>1052</v>
      </c>
      <c r="P231" t="s">
        <v>1053</v>
      </c>
      <c r="Q231" t="s">
        <v>1054</v>
      </c>
      <c r="R231" t="s">
        <v>338</v>
      </c>
    </row>
    <row r="232">
      <c r="A232" t="str">
        <f>_xlfn.CONCAT(TBL_Sedes[[#This Row],[Ciudad]]," ",TBL_Sedes[[#This Row],[Nombre de la sede]])</f>
        <v xml:space="preserve">Medellín Subsede Tecno-academia Universitaria de Occidente</v>
      </c>
      <c r="B232">
        <v>361</v>
      </c>
      <c r="C232">
        <v>94021003</v>
      </c>
      <c r="D232" t="s">
        <v>152</v>
      </c>
      <c r="E232" t="s">
        <v>1024</v>
      </c>
      <c r="F232" t="s">
        <v>1073</v>
      </c>
      <c r="G232" t="s">
        <v>1074</v>
      </c>
      <c r="H232" t="s">
        <v>366</v>
      </c>
      <c r="I232" t="s">
        <v>174</v>
      </c>
      <c r="J232" t="s">
        <v>475</v>
      </c>
      <c r="K232" t="s">
        <v>1075</v>
      </c>
      <c r="L232" t="s">
        <v>1075</v>
      </c>
      <c r="M232" t="s">
        <v>148</v>
      </c>
      <c r="N232" t="s">
        <v>1041</v>
      </c>
      <c r="O232" t="s">
        <v>1042</v>
      </c>
      <c r="P232">
        <v>3046027177</v>
      </c>
      <c r="Q232">
        <v>42096</v>
      </c>
      <c r="R232" t="s">
        <v>168</v>
      </c>
    </row>
    <row r="233">
      <c r="A233" t="str">
        <f>_xlfn.CONCAT(TBL_Sedes[[#This Row],[Ciudad]]," ",TBL_Sedes[[#This Row],[Nombre de la sede]])</f>
        <v xml:space="preserve">Medellín Subsede U de Colombia</v>
      </c>
      <c r="B233">
        <v>360</v>
      </c>
      <c r="C233">
        <v>94021002</v>
      </c>
      <c r="D233" t="s">
        <v>152</v>
      </c>
      <c r="E233" t="s">
        <v>1024</v>
      </c>
      <c r="F233" t="s">
        <v>1076</v>
      </c>
      <c r="G233" t="s">
        <v>1077</v>
      </c>
      <c r="H233" t="s">
        <v>366</v>
      </c>
      <c r="I233" t="s">
        <v>174</v>
      </c>
      <c r="J233" t="s">
        <v>402</v>
      </c>
      <c r="K233" t="s">
        <v>1075</v>
      </c>
      <c r="L233" t="s">
        <v>1075</v>
      </c>
      <c r="M233" t="s">
        <v>148</v>
      </c>
      <c r="N233" t="s">
        <v>1041</v>
      </c>
      <c r="O233" t="s">
        <v>1042</v>
      </c>
      <c r="P233">
        <v>3046027177</v>
      </c>
      <c r="Q233">
        <v>42096</v>
      </c>
      <c r="R233" t="s">
        <v>168</v>
      </c>
      <c r="S233" t="s">
        <v>406</v>
      </c>
      <c r="T233" t="s">
        <v>170</v>
      </c>
    </row>
    <row r="234">
      <c r="A234" t="str">
        <f>_xlfn.CONCAT(TBL_Sedes[[#This Row],[Ciudad]]," ",TBL_Sedes[[#This Row],[Nombre de la sede]])</f>
        <v xml:space="preserve">Medellín Tecnoacademia Hábitat De La Construcción (Colegio Loyola)</v>
      </c>
      <c r="B234">
        <v>207</v>
      </c>
      <c r="C234">
        <v>92031001</v>
      </c>
      <c r="D234" t="s">
        <v>152</v>
      </c>
      <c r="E234" t="s">
        <v>1024</v>
      </c>
      <c r="F234" t="s">
        <v>1078</v>
      </c>
      <c r="G234" t="s">
        <v>1079</v>
      </c>
      <c r="H234" t="s">
        <v>173</v>
      </c>
      <c r="I234" t="s">
        <v>174</v>
      </c>
      <c r="J234" t="s">
        <v>146</v>
      </c>
      <c r="K234" t="s">
        <v>455</v>
      </c>
      <c r="L234" t="s">
        <v>147</v>
      </c>
      <c r="M234" t="s">
        <v>148</v>
      </c>
      <c r="N234" t="s">
        <v>1051</v>
      </c>
      <c r="O234" t="s">
        <v>1052</v>
      </c>
      <c r="P234" t="s">
        <v>1053</v>
      </c>
      <c r="Q234" t="s">
        <v>1054</v>
      </c>
      <c r="R234" t="s">
        <v>338</v>
      </c>
    </row>
    <row r="235">
      <c r="A235" t="str">
        <f>_xlfn.CONCAT(TBL_Sedes[[#This Row],[Ciudad]]," ",TBL_Sedes[[#This Row],[Nombre de la sede]])</f>
        <v xml:space="preserve">Medellín Tecnoparque Colombia Nodo Medellín</v>
      </c>
      <c r="B235">
        <v>4</v>
      </c>
      <c r="C235">
        <v>94021001</v>
      </c>
      <c r="D235" t="s">
        <v>152</v>
      </c>
      <c r="E235" t="s">
        <v>1024</v>
      </c>
      <c r="F235" t="s">
        <v>1080</v>
      </c>
      <c r="G235" t="s">
        <v>1081</v>
      </c>
      <c r="H235" t="s">
        <v>173</v>
      </c>
      <c r="I235" t="s">
        <v>156</v>
      </c>
      <c r="J235" t="s">
        <v>146</v>
      </c>
      <c r="K235" t="s">
        <v>147</v>
      </c>
      <c r="L235" t="s">
        <v>147</v>
      </c>
      <c r="M235" t="s">
        <v>148</v>
      </c>
      <c r="N235" t="s">
        <v>1041</v>
      </c>
      <c r="O235" t="s">
        <v>1042</v>
      </c>
      <c r="P235">
        <v>3046027177</v>
      </c>
      <c r="Q235">
        <v>42096</v>
      </c>
      <c r="R235" t="s">
        <v>151</v>
      </c>
      <c r="S235" t="s">
        <v>147</v>
      </c>
      <c r="T235" t="s">
        <v>147</v>
      </c>
    </row>
    <row r="236">
      <c r="A236" t="str">
        <f>_xlfn.CONCAT(TBL_Sedes[[#This Row],[Ciudad]]," ",TBL_Sedes[[#This Row],[Nombre de la sede]])</f>
        <v xml:space="preserve">Melgar Sede Escuela Gastronómica</v>
      </c>
      <c r="B236">
        <v>155</v>
      </c>
      <c r="C236">
        <v>93101001</v>
      </c>
      <c r="D236" t="s">
        <v>743</v>
      </c>
      <c r="E236" t="s">
        <v>1082</v>
      </c>
      <c r="F236" t="s">
        <v>1083</v>
      </c>
      <c r="G236" t="s">
        <v>1084</v>
      </c>
      <c r="H236" t="s">
        <v>173</v>
      </c>
      <c r="I236" t="s">
        <v>174</v>
      </c>
      <c r="J236" t="s">
        <v>146</v>
      </c>
      <c r="K236" t="s">
        <v>147</v>
      </c>
      <c r="L236" t="s">
        <v>147</v>
      </c>
      <c r="M236" t="s">
        <v>148</v>
      </c>
      <c r="N236" t="s">
        <v>855</v>
      </c>
      <c r="O236" t="s">
        <v>856</v>
      </c>
      <c r="P236">
        <v>3174009040</v>
      </c>
      <c r="Q236">
        <v>84253</v>
      </c>
    </row>
    <row r="237">
      <c r="A237" t="str">
        <f>_xlfn.CONCAT(TBL_Sedes[[#This Row],[Ciudad]]," ",TBL_Sedes[[#This Row],[Nombre de la sede]])</f>
        <v xml:space="preserve">Mesitas Del Colegio Subsede </v>
      </c>
      <c r="B237">
        <v>269</v>
      </c>
      <c r="C237">
        <v>95111051</v>
      </c>
      <c r="D237" t="s">
        <v>370</v>
      </c>
      <c r="E237" t="s">
        <v>1085</v>
      </c>
      <c r="F237" t="s">
        <v>658</v>
      </c>
      <c r="G237" t="s">
        <v>1086</v>
      </c>
      <c r="H237" t="s">
        <v>217</v>
      </c>
      <c r="I237" t="s">
        <v>174</v>
      </c>
      <c r="J237" t="s">
        <v>206</v>
      </c>
      <c r="K237" t="s">
        <v>345</v>
      </c>
      <c r="L237" t="s">
        <v>345</v>
      </c>
      <c r="M237" t="s">
        <v>148</v>
      </c>
      <c r="N237" t="s">
        <v>809</v>
      </c>
      <c r="O237" t="s">
        <v>810</v>
      </c>
      <c r="P237" t="s">
        <v>811</v>
      </c>
    </row>
    <row r="238">
      <c r="A238" t="str">
        <f>_xlfn.CONCAT(TBL_Sedes[[#This Row],[Ciudad]]," ",TBL_Sedes[[#This Row],[Nombre de la sede]])</f>
        <v xml:space="preserve">Mitú Centro Agropecuario Y De Servicios Ambientales Jiri-Jirimo</v>
      </c>
      <c r="B238" t="s">
        <v>1087</v>
      </c>
      <c r="C238">
        <v>95481000</v>
      </c>
      <c r="D238" t="s">
        <v>1088</v>
      </c>
      <c r="E238" t="s">
        <v>1089</v>
      </c>
      <c r="F238" t="s">
        <v>1090</v>
      </c>
      <c r="G238" t="s">
        <v>1091</v>
      </c>
      <c r="H238" t="s">
        <v>144</v>
      </c>
      <c r="I238" t="s">
        <v>156</v>
      </c>
      <c r="J238" t="s">
        <v>146</v>
      </c>
      <c r="K238" t="s">
        <v>147</v>
      </c>
      <c r="L238" t="s">
        <v>147</v>
      </c>
      <c r="M238" t="s">
        <v>148</v>
      </c>
      <c r="N238" t="s">
        <v>1092</v>
      </c>
      <c r="O238" t="s">
        <v>1093</v>
      </c>
      <c r="P238" t="s">
        <v>1094</v>
      </c>
      <c r="Q238">
        <v>85416</v>
      </c>
      <c r="R238" t="s">
        <v>151</v>
      </c>
      <c r="S238" t="s">
        <v>147</v>
      </c>
      <c r="T238" t="s">
        <v>147</v>
      </c>
    </row>
    <row r="239">
      <c r="A239" t="str">
        <f>_xlfn.CONCAT(TBL_Sedes[[#This Row],[Ciudad]]," ",TBL_Sedes[[#This Row],[Nombre de la sede]])</f>
        <v xml:space="preserve">Mitú Regional Vaupés</v>
      </c>
      <c r="B239">
        <v>178</v>
      </c>
      <c r="C239">
        <v>10109700</v>
      </c>
      <c r="D239" t="s">
        <v>1088</v>
      </c>
      <c r="E239" t="s">
        <v>1089</v>
      </c>
      <c r="F239" t="s">
        <v>1095</v>
      </c>
      <c r="G239" t="s">
        <v>1091</v>
      </c>
      <c r="H239" t="s">
        <v>122</v>
      </c>
      <c r="I239" t="s">
        <v>156</v>
      </c>
      <c r="J239" t="s">
        <v>146</v>
      </c>
      <c r="K239" t="s">
        <v>147</v>
      </c>
      <c r="L239" t="s">
        <v>147</v>
      </c>
      <c r="M239" t="s">
        <v>148</v>
      </c>
      <c r="N239" t="s">
        <v>1092</v>
      </c>
      <c r="O239" t="s">
        <v>1093</v>
      </c>
      <c r="P239" t="s">
        <v>1094</v>
      </c>
      <c r="Q239">
        <v>85416</v>
      </c>
      <c r="R239" t="s">
        <v>151</v>
      </c>
      <c r="S239" t="s">
        <v>147</v>
      </c>
      <c r="T239" t="s">
        <v>147</v>
      </c>
    </row>
    <row r="240">
      <c r="A240" t="str">
        <f>_xlfn.CONCAT(TBL_Sedes[[#This Row],[Ciudad]]," ",TBL_Sedes[[#This Row],[Nombre de la sede]])</f>
        <v xml:space="preserve">Mitú Regional Vaupés</v>
      </c>
      <c r="B240">
        <v>280</v>
      </c>
      <c r="C240">
        <v>10109701</v>
      </c>
      <c r="D240" t="s">
        <v>1088</v>
      </c>
      <c r="E240" t="s">
        <v>1089</v>
      </c>
      <c r="F240" t="s">
        <v>1095</v>
      </c>
      <c r="G240" t="s">
        <v>1096</v>
      </c>
      <c r="H240" t="s">
        <v>173</v>
      </c>
      <c r="I240" t="s">
        <v>174</v>
      </c>
      <c r="J240" t="s">
        <v>1097</v>
      </c>
      <c r="K240" t="s">
        <v>147</v>
      </c>
      <c r="L240" t="s">
        <v>147</v>
      </c>
      <c r="M240" t="s">
        <v>360</v>
      </c>
      <c r="N240" t="s">
        <v>1092</v>
      </c>
      <c r="O240" t="s">
        <v>1093</v>
      </c>
      <c r="P240" t="s">
        <v>1094</v>
      </c>
      <c r="Q240">
        <v>85407</v>
      </c>
      <c r="S240" t="s">
        <v>795</v>
      </c>
      <c r="T240" t="s">
        <v>804</v>
      </c>
    </row>
    <row r="241">
      <c r="A241" t="str">
        <f>_xlfn.CONCAT(TBL_Sedes[[#This Row],[Ciudad]]," ",TBL_Sedes[[#This Row],[Nombre de la sede]])</f>
        <v xml:space="preserve">Mitú Sede Cuervo Araoz</v>
      </c>
      <c r="B241">
        <v>230</v>
      </c>
      <c r="C241">
        <v>95481001</v>
      </c>
      <c r="D241" t="s">
        <v>1088</v>
      </c>
      <c r="E241" t="s">
        <v>1089</v>
      </c>
      <c r="F241" t="s">
        <v>1098</v>
      </c>
      <c r="G241" t="s">
        <v>1099</v>
      </c>
      <c r="H241" t="s">
        <v>173</v>
      </c>
      <c r="I241" t="s">
        <v>174</v>
      </c>
      <c r="J241" t="s">
        <v>513</v>
      </c>
      <c r="K241" t="s">
        <v>147</v>
      </c>
      <c r="L241" t="s">
        <v>147</v>
      </c>
      <c r="M241" t="s">
        <v>148</v>
      </c>
      <c r="N241" t="s">
        <v>1092</v>
      </c>
      <c r="O241" t="s">
        <v>1093</v>
      </c>
      <c r="P241" t="s">
        <v>1094</v>
      </c>
      <c r="Q241">
        <v>85416</v>
      </c>
    </row>
    <row r="242">
      <c r="A242" t="str">
        <f>_xlfn.CONCAT(TBL_Sedes[[#This Row],[Ciudad]]," ",TBL_Sedes[[#This Row],[Nombre de la sede]])</f>
        <v xml:space="preserve">Mocoa Sede Mocoa</v>
      </c>
      <c r="B242">
        <v>172</v>
      </c>
      <c r="C242">
        <v>95181001</v>
      </c>
      <c r="D242" t="s">
        <v>1100</v>
      </c>
      <c r="E242" t="s">
        <v>1101</v>
      </c>
      <c r="F242" t="s">
        <v>1102</v>
      </c>
      <c r="G242" t="s">
        <v>1103</v>
      </c>
      <c r="H242" t="s">
        <v>173</v>
      </c>
      <c r="I242" t="s">
        <v>174</v>
      </c>
      <c r="J242" t="s">
        <v>513</v>
      </c>
      <c r="K242" t="s">
        <v>147</v>
      </c>
      <c r="L242" t="s">
        <v>147</v>
      </c>
      <c r="M242" t="s">
        <v>1104</v>
      </c>
      <c r="N242" t="s">
        <v>1105</v>
      </c>
      <c r="O242" t="s">
        <v>1106</v>
      </c>
      <c r="P242">
        <v>3144588946</v>
      </c>
      <c r="Q242" t="s">
        <v>1107</v>
      </c>
      <c r="R242" t="s">
        <v>338</v>
      </c>
      <c r="S242" t="s">
        <v>1108</v>
      </c>
      <c r="T242" t="s">
        <v>182</v>
      </c>
    </row>
    <row r="243">
      <c r="A243" t="str">
        <f>_xlfn.CONCAT(TBL_Sedes[[#This Row],[Ciudad]]," ",TBL_Sedes[[#This Row],[Nombre de la sede]])</f>
        <v xml:space="preserve">Mompós Sede Mompós</v>
      </c>
      <c r="B243">
        <v>49</v>
      </c>
      <c r="C243">
        <v>91041002</v>
      </c>
      <c r="D243" t="s">
        <v>580</v>
      </c>
      <c r="E243" t="s">
        <v>1109</v>
      </c>
      <c r="F243" t="s">
        <v>1110</v>
      </c>
      <c r="G243" t="s">
        <v>1111</v>
      </c>
      <c r="H243" t="s">
        <v>173</v>
      </c>
      <c r="I243" t="s">
        <v>174</v>
      </c>
      <c r="J243" t="s">
        <v>513</v>
      </c>
      <c r="K243" t="s">
        <v>584</v>
      </c>
      <c r="L243" t="s">
        <v>147</v>
      </c>
      <c r="M243" t="s">
        <v>148</v>
      </c>
      <c r="N243" t="s">
        <v>585</v>
      </c>
      <c r="O243" t="s">
        <v>586</v>
      </c>
      <c r="P243" t="s">
        <v>587</v>
      </c>
      <c r="Q243">
        <v>52486</v>
      </c>
      <c r="R243" t="s">
        <v>380</v>
      </c>
      <c r="S243" t="s">
        <v>147</v>
      </c>
      <c r="T243" t="s">
        <v>147</v>
      </c>
    </row>
    <row r="244">
      <c r="A244" t="str">
        <f>_xlfn.CONCAT(TBL_Sedes[[#This Row],[Ciudad]]," ",TBL_Sedes[[#This Row],[Nombre de la sede]])</f>
        <v xml:space="preserve">Moniquirá Sede Moniquirá</v>
      </c>
      <c r="B244">
        <v>57</v>
      </c>
      <c r="C244">
        <v>93051001</v>
      </c>
      <c r="D244" t="s">
        <v>626</v>
      </c>
      <c r="E244" t="s">
        <v>1112</v>
      </c>
      <c r="F244" t="s">
        <v>1113</v>
      </c>
      <c r="G244" t="s">
        <v>1114</v>
      </c>
      <c r="H244" t="s">
        <v>173</v>
      </c>
      <c r="I244" t="s">
        <v>174</v>
      </c>
      <c r="J244" t="s">
        <v>259</v>
      </c>
      <c r="K244" t="s">
        <v>147</v>
      </c>
      <c r="L244" t="s">
        <v>147</v>
      </c>
      <c r="M244" t="s">
        <v>148</v>
      </c>
      <c r="N244" t="s">
        <v>1115</v>
      </c>
      <c r="O244" t="s">
        <v>1116</v>
      </c>
      <c r="P244" t="s">
        <v>1117</v>
      </c>
      <c r="Q244">
        <v>82755</v>
      </c>
      <c r="R244" t="s">
        <v>380</v>
      </c>
      <c r="S244" t="s">
        <v>147</v>
      </c>
      <c r="T244" t="s">
        <v>147</v>
      </c>
    </row>
    <row r="245">
      <c r="A245" t="str">
        <f>_xlfn.CONCAT(TBL_Sedes[[#This Row],[Ciudad]]," ",TBL_Sedes[[#This Row],[Nombre de la sede]])</f>
        <v xml:space="preserve">Montería Centro Agropecuario Y De Biotecnología El Porvenir</v>
      </c>
      <c r="B245">
        <v>77</v>
      </c>
      <c r="C245">
        <v>91151000</v>
      </c>
      <c r="D245" t="s">
        <v>956</v>
      </c>
      <c r="E245" t="s">
        <v>1118</v>
      </c>
      <c r="F245" t="s">
        <v>1119</v>
      </c>
      <c r="G245" t="s">
        <v>1120</v>
      </c>
      <c r="H245" t="s">
        <v>144</v>
      </c>
      <c r="I245" t="s">
        <v>145</v>
      </c>
      <c r="J245" t="s">
        <v>1121</v>
      </c>
      <c r="K245" t="s">
        <v>147</v>
      </c>
      <c r="L245" t="s">
        <v>147</v>
      </c>
      <c r="M245" t="s">
        <v>148</v>
      </c>
      <c r="N245" t="s">
        <v>960</v>
      </c>
      <c r="O245" t="s">
        <v>961</v>
      </c>
      <c r="P245">
        <v>3156830542</v>
      </c>
      <c r="Q245">
        <v>53399</v>
      </c>
    </row>
    <row r="246">
      <c r="A246" t="str">
        <f>_xlfn.CONCAT(TBL_Sedes[[#This Row],[Ciudad]]," ",TBL_Sedes[[#This Row],[Nombre de la sede]])</f>
        <v xml:space="preserve">Montería Centro De Comercio, Industria Y Turismo De Córdoba</v>
      </c>
      <c r="B246" t="s">
        <v>1122</v>
      </c>
      <c r="C246">
        <v>95231000</v>
      </c>
      <c r="D246" t="s">
        <v>956</v>
      </c>
      <c r="E246" t="s">
        <v>1118</v>
      </c>
      <c r="F246" t="s">
        <v>1123</v>
      </c>
      <c r="G246" t="s">
        <v>1124</v>
      </c>
      <c r="H246" t="s">
        <v>144</v>
      </c>
      <c r="I246" t="s">
        <v>156</v>
      </c>
      <c r="J246" t="s">
        <v>513</v>
      </c>
      <c r="K246" t="s">
        <v>147</v>
      </c>
      <c r="L246" t="s">
        <v>147</v>
      </c>
      <c r="M246" t="s">
        <v>148</v>
      </c>
      <c r="N246" t="s">
        <v>960</v>
      </c>
      <c r="O246" t="s">
        <v>961</v>
      </c>
      <c r="P246">
        <v>3156830542</v>
      </c>
      <c r="Q246">
        <v>53399</v>
      </c>
    </row>
    <row r="247">
      <c r="A247" t="str">
        <f>_xlfn.CONCAT(TBL_Sedes[[#This Row],[Ciudad]]," ",TBL_Sedes[[#This Row],[Nombre de la sede]])</f>
        <v xml:space="preserve">Montería Regional Córdoba</v>
      </c>
      <c r="B247">
        <v>75</v>
      </c>
      <c r="C247">
        <v>10102300</v>
      </c>
      <c r="D247" t="s">
        <v>956</v>
      </c>
      <c r="E247" t="s">
        <v>1118</v>
      </c>
      <c r="F247" t="s">
        <v>1125</v>
      </c>
      <c r="G247" t="s">
        <v>1124</v>
      </c>
      <c r="H247" t="s">
        <v>122</v>
      </c>
      <c r="I247" t="s">
        <v>156</v>
      </c>
      <c r="J247" t="s">
        <v>146</v>
      </c>
      <c r="K247" t="s">
        <v>218</v>
      </c>
      <c r="L247" t="s">
        <v>147</v>
      </c>
      <c r="M247" t="s">
        <v>148</v>
      </c>
      <c r="N247" t="s">
        <v>960</v>
      </c>
      <c r="O247" t="s">
        <v>961</v>
      </c>
      <c r="P247">
        <v>3156830542</v>
      </c>
      <c r="Q247">
        <v>53399</v>
      </c>
      <c r="R247" t="s">
        <v>151</v>
      </c>
      <c r="S247" t="s">
        <v>147</v>
      </c>
      <c r="T247" t="s">
        <v>147</v>
      </c>
    </row>
    <row r="248">
      <c r="A248" t="str">
        <f>_xlfn.CONCAT(TBL_Sedes[[#This Row],[Ciudad]]," ",TBL_Sedes[[#This Row],[Nombre de la sede]])</f>
        <v xml:space="preserve">Montería San Jorge Montelíbano</v>
      </c>
      <c r="B248">
        <v>242</v>
      </c>
      <c r="C248">
        <v>95231003</v>
      </c>
      <c r="D248" t="s">
        <v>956</v>
      </c>
      <c r="E248" t="s">
        <v>1118</v>
      </c>
      <c r="F248" t="s">
        <v>1126</v>
      </c>
      <c r="G248" t="s">
        <v>1127</v>
      </c>
      <c r="H248" t="s">
        <v>173</v>
      </c>
      <c r="I248" t="s">
        <v>174</v>
      </c>
      <c r="J248" t="s">
        <v>165</v>
      </c>
      <c r="K248" t="s">
        <v>147</v>
      </c>
      <c r="L248" t="s">
        <v>147</v>
      </c>
      <c r="M248" t="s">
        <v>148</v>
      </c>
      <c r="N248" t="s">
        <v>960</v>
      </c>
      <c r="O248" t="s">
        <v>961</v>
      </c>
      <c r="P248">
        <v>3156830542</v>
      </c>
      <c r="Q248">
        <v>53399</v>
      </c>
    </row>
    <row r="249">
      <c r="A249" t="str">
        <f>_xlfn.CONCAT(TBL_Sedes[[#This Row],[Ciudad]]," ",TBL_Sedes[[#This Row],[Nombre de la sede]])</f>
        <v xml:space="preserve">Montería Tecnoparque Montería</v>
      </c>
      <c r="B249">
        <v>201</v>
      </c>
      <c r="C249">
        <v>95231002</v>
      </c>
      <c r="D249" t="s">
        <v>956</v>
      </c>
      <c r="E249" t="s">
        <v>1118</v>
      </c>
      <c r="F249" t="s">
        <v>1128</v>
      </c>
      <c r="G249" t="s">
        <v>1129</v>
      </c>
      <c r="H249" t="s">
        <v>173</v>
      </c>
      <c r="I249" t="s">
        <v>174</v>
      </c>
      <c r="J249" t="s">
        <v>513</v>
      </c>
      <c r="K249" t="s">
        <v>147</v>
      </c>
      <c r="L249" t="s">
        <v>147</v>
      </c>
      <c r="M249" t="s">
        <v>148</v>
      </c>
      <c r="N249" t="s">
        <v>960</v>
      </c>
      <c r="O249" t="s">
        <v>961</v>
      </c>
      <c r="P249">
        <v>3156830542</v>
      </c>
      <c r="Q249">
        <v>53399</v>
      </c>
    </row>
    <row r="250">
      <c r="A250" t="str">
        <f>_xlfn.CONCAT(TBL_Sedes[[#This Row],[Ciudad]]," ",TBL_Sedes[[#This Row],[Nombre de la sede]])</f>
        <v xml:space="preserve">Mosquera Centro De Biotecnología Agropecuaria</v>
      </c>
      <c r="B250">
        <v>87</v>
      </c>
      <c r="C250">
        <v>95121000</v>
      </c>
      <c r="D250" t="s">
        <v>370</v>
      </c>
      <c r="E250" t="s">
        <v>1130</v>
      </c>
      <c r="F250" t="s">
        <v>1131</v>
      </c>
      <c r="G250" t="s">
        <v>1132</v>
      </c>
      <c r="H250" t="s">
        <v>144</v>
      </c>
      <c r="I250" t="s">
        <v>156</v>
      </c>
      <c r="J250" t="s">
        <v>345</v>
      </c>
      <c r="K250" t="s">
        <v>147</v>
      </c>
      <c r="L250" t="s">
        <v>147</v>
      </c>
      <c r="M250" t="s">
        <v>148</v>
      </c>
      <c r="N250" t="s">
        <v>907</v>
      </c>
      <c r="O250" t="s">
        <v>908</v>
      </c>
      <c r="P250">
        <v>3184074712</v>
      </c>
      <c r="Q250">
        <v>17852</v>
      </c>
      <c r="R250" t="s">
        <v>151</v>
      </c>
      <c r="S250" t="s">
        <v>147</v>
      </c>
      <c r="T250" t="s">
        <v>147</v>
      </c>
    </row>
    <row r="251">
      <c r="A251" t="str">
        <f>_xlfn.CONCAT(TBL_Sedes[[#This Row],[Ciudad]]," ",TBL_Sedes[[#This Row],[Nombre de la sede]])</f>
        <v xml:space="preserve">Neiva Centro De La Industria, La Empresa Y Los Servicios </v>
      </c>
      <c r="B251" t="s">
        <v>1133</v>
      </c>
      <c r="C251">
        <v>95271000</v>
      </c>
      <c r="D251" t="s">
        <v>574</v>
      </c>
      <c r="E251" t="s">
        <v>1134</v>
      </c>
      <c r="F251" t="s">
        <v>1135</v>
      </c>
      <c r="G251" t="s">
        <v>1136</v>
      </c>
      <c r="H251" t="s">
        <v>144</v>
      </c>
      <c r="I251" t="s">
        <v>156</v>
      </c>
      <c r="J251" t="s">
        <v>206</v>
      </c>
      <c r="K251" t="s">
        <v>316</v>
      </c>
      <c r="L251" t="s">
        <v>147</v>
      </c>
      <c r="M251" t="s">
        <v>148</v>
      </c>
      <c r="N251" t="s">
        <v>1137</v>
      </c>
      <c r="O251" t="s">
        <v>1138</v>
      </c>
      <c r="P251" t="s">
        <v>1139</v>
      </c>
      <c r="Q251">
        <v>83288</v>
      </c>
      <c r="R251" t="s">
        <v>151</v>
      </c>
      <c r="S251" t="s">
        <v>147</v>
      </c>
      <c r="T251" t="s">
        <v>147</v>
      </c>
    </row>
    <row r="252">
      <c r="A252" t="str">
        <f>_xlfn.CONCAT(TBL_Sedes[[#This Row],[Ciudad]]," ",TBL_Sedes[[#This Row],[Nombre de la sede]])</f>
        <v xml:space="preserve">Neiva Regional Huila</v>
      </c>
      <c r="B252">
        <v>99</v>
      </c>
      <c r="C252">
        <v>10104100</v>
      </c>
      <c r="D252" t="s">
        <v>574</v>
      </c>
      <c r="E252" t="s">
        <v>1134</v>
      </c>
      <c r="F252" t="s">
        <v>1140</v>
      </c>
      <c r="G252" t="s">
        <v>1136</v>
      </c>
      <c r="H252" t="s">
        <v>122</v>
      </c>
      <c r="I252" t="s">
        <v>156</v>
      </c>
      <c r="J252" t="s">
        <v>755</v>
      </c>
      <c r="K252" t="s">
        <v>147</v>
      </c>
      <c r="L252" t="s">
        <v>147</v>
      </c>
      <c r="M252" t="s">
        <v>148</v>
      </c>
      <c r="N252" t="s">
        <v>1137</v>
      </c>
      <c r="O252" t="s">
        <v>1138</v>
      </c>
      <c r="P252" t="s">
        <v>1139</v>
      </c>
      <c r="Q252">
        <v>83288</v>
      </c>
      <c r="R252" t="s">
        <v>151</v>
      </c>
      <c r="S252" t="s">
        <v>147</v>
      </c>
      <c r="T252" t="s">
        <v>147</v>
      </c>
    </row>
    <row r="253">
      <c r="A253" t="str">
        <f>_xlfn.CONCAT(TBL_Sedes[[#This Row],[Ciudad]]," ",TBL_Sedes[[#This Row],[Nombre de la sede]])</f>
        <v xml:space="preserve">Neiva Sede Industrial</v>
      </c>
      <c r="B253">
        <v>100</v>
      </c>
      <c r="C253">
        <v>95271001</v>
      </c>
      <c r="D253" t="s">
        <v>574</v>
      </c>
      <c r="E253" t="s">
        <v>1134</v>
      </c>
      <c r="F253" t="s">
        <v>1141</v>
      </c>
      <c r="G253" t="s">
        <v>1142</v>
      </c>
      <c r="H253" t="s">
        <v>173</v>
      </c>
      <c r="I253" t="s">
        <v>145</v>
      </c>
      <c r="J253" t="s">
        <v>755</v>
      </c>
      <c r="K253" t="s">
        <v>147</v>
      </c>
      <c r="L253" t="s">
        <v>147</v>
      </c>
      <c r="M253" t="s">
        <v>148</v>
      </c>
      <c r="N253" t="s">
        <v>1137</v>
      </c>
      <c r="O253" t="s">
        <v>1138</v>
      </c>
      <c r="P253" t="s">
        <v>1139</v>
      </c>
      <c r="Q253">
        <v>83288</v>
      </c>
      <c r="R253" t="s">
        <v>151</v>
      </c>
      <c r="S253" t="s">
        <v>147</v>
      </c>
      <c r="T253" t="s">
        <v>147</v>
      </c>
    </row>
    <row r="254">
      <c r="A254" t="str">
        <f>_xlfn.CONCAT(TBL_Sedes[[#This Row],[Ciudad]]," ",TBL_Sedes[[#This Row],[Nombre de la sede]])</f>
        <v xml:space="preserve">Neiva Tecnoacademia Neiva</v>
      </c>
      <c r="B254">
        <v>204</v>
      </c>
      <c r="C254">
        <v>95271003</v>
      </c>
      <c r="D254" t="s">
        <v>574</v>
      </c>
      <c r="E254" t="s">
        <v>1134</v>
      </c>
      <c r="F254" t="s">
        <v>1143</v>
      </c>
      <c r="G254" t="s">
        <v>1144</v>
      </c>
      <c r="H254" t="s">
        <v>173</v>
      </c>
      <c r="I254" t="s">
        <v>174</v>
      </c>
      <c r="J254" t="s">
        <v>506</v>
      </c>
      <c r="K254" t="s">
        <v>316</v>
      </c>
      <c r="L254" t="s">
        <v>147</v>
      </c>
      <c r="M254" t="s">
        <v>148</v>
      </c>
      <c r="N254" t="s">
        <v>1137</v>
      </c>
      <c r="O254" t="s">
        <v>1138</v>
      </c>
      <c r="P254" t="s">
        <v>1139</v>
      </c>
      <c r="Q254">
        <v>83288</v>
      </c>
      <c r="R254" t="s">
        <v>338</v>
      </c>
    </row>
    <row r="255">
      <c r="A255" t="str">
        <f>_xlfn.CONCAT(TBL_Sedes[[#This Row],[Ciudad]]," ",TBL_Sedes[[#This Row],[Nombre de la sede]])</f>
        <v xml:space="preserve">Neiva Tecnoparque Colombia Nodo Neiva</v>
      </c>
      <c r="B255">
        <v>185</v>
      </c>
      <c r="C255">
        <v>95271002</v>
      </c>
      <c r="D255" t="s">
        <v>574</v>
      </c>
      <c r="E255" t="s">
        <v>1134</v>
      </c>
      <c r="F255" t="s">
        <v>1145</v>
      </c>
      <c r="G255" t="s">
        <v>1146</v>
      </c>
      <c r="H255" t="s">
        <v>173</v>
      </c>
      <c r="I255" t="s">
        <v>174</v>
      </c>
      <c r="J255" t="s">
        <v>506</v>
      </c>
      <c r="K255" t="s">
        <v>316</v>
      </c>
      <c r="L255" t="s">
        <v>147</v>
      </c>
      <c r="M255" t="s">
        <v>148</v>
      </c>
      <c r="N255" t="s">
        <v>1137</v>
      </c>
      <c r="O255" t="s">
        <v>1138</v>
      </c>
      <c r="P255" t="s">
        <v>1139</v>
      </c>
      <c r="Q255">
        <v>83288</v>
      </c>
      <c r="R255" t="s">
        <v>380</v>
      </c>
      <c r="S255" t="s">
        <v>147</v>
      </c>
      <c r="T255" t="s">
        <v>147</v>
      </c>
    </row>
    <row r="256">
      <c r="A256" t="str">
        <f>_xlfn.CONCAT(TBL_Sedes[[#This Row],[Ciudad]]," ",TBL_Sedes[[#This Row],[Nombre de la sede]])</f>
        <v xml:space="preserve">Ocaña Sede Grupo Ocaña</v>
      </c>
      <c r="B256">
        <v>126</v>
      </c>
      <c r="C256">
        <v>95371001</v>
      </c>
      <c r="D256" t="s">
        <v>671</v>
      </c>
      <c r="E256" t="s">
        <v>1147</v>
      </c>
      <c r="F256" t="s">
        <v>1148</v>
      </c>
      <c r="G256" t="s">
        <v>1149</v>
      </c>
      <c r="H256" t="s">
        <v>173</v>
      </c>
      <c r="I256" t="s">
        <v>174</v>
      </c>
      <c r="J256" t="s">
        <v>165</v>
      </c>
      <c r="K256" t="s">
        <v>392</v>
      </c>
      <c r="L256" t="s">
        <v>147</v>
      </c>
      <c r="M256" t="s">
        <v>148</v>
      </c>
      <c r="N256" t="s">
        <v>675</v>
      </c>
      <c r="O256" t="s">
        <v>676</v>
      </c>
      <c r="P256">
        <v>3167060186</v>
      </c>
      <c r="Q256">
        <v>72575</v>
      </c>
      <c r="R256" t="s">
        <v>151</v>
      </c>
      <c r="S256" t="s">
        <v>147</v>
      </c>
      <c r="T256" t="s">
        <v>147</v>
      </c>
    </row>
    <row r="257">
      <c r="A257" t="str">
        <f>_xlfn.CONCAT(TBL_Sedes[[#This Row],[Ciudad]]," ",TBL_Sedes[[#This Row],[Nombre de la sede]])</f>
        <v xml:space="preserve">Ocaña Tecnoparque Nodo Ocaña</v>
      </c>
      <c r="B257">
        <v>257</v>
      </c>
      <c r="C257">
        <v>95371004</v>
      </c>
      <c r="D257" t="s">
        <v>671</v>
      </c>
      <c r="E257" t="s">
        <v>1147</v>
      </c>
      <c r="F257" t="s">
        <v>1150</v>
      </c>
      <c r="G257" t="s">
        <v>1151</v>
      </c>
      <c r="H257" t="s">
        <v>173</v>
      </c>
      <c r="I257" t="s">
        <v>145</v>
      </c>
      <c r="J257" t="s">
        <v>278</v>
      </c>
      <c r="K257" t="s">
        <v>147</v>
      </c>
      <c r="L257" t="s">
        <v>147</v>
      </c>
      <c r="M257" t="s">
        <v>148</v>
      </c>
      <c r="N257" t="s">
        <v>675</v>
      </c>
      <c r="O257" t="s">
        <v>676</v>
      </c>
      <c r="P257">
        <v>3167060186</v>
      </c>
      <c r="Q257">
        <v>72575</v>
      </c>
    </row>
    <row r="258">
      <c r="A258" t="str">
        <f>_xlfn.CONCAT(TBL_Sedes[[#This Row],[Ciudad]]," ",TBL_Sedes[[#This Row],[Nombre de la sede]])</f>
        <v xml:space="preserve">Orito Sede Orito</v>
      </c>
      <c r="B258">
        <v>357</v>
      </c>
      <c r="C258">
        <v>95181004</v>
      </c>
      <c r="D258" t="s">
        <v>1100</v>
      </c>
      <c r="E258" t="s">
        <v>1152</v>
      </c>
      <c r="F258" t="s">
        <v>1153</v>
      </c>
      <c r="G258" t="s">
        <v>1154</v>
      </c>
      <c r="H258" t="s">
        <v>366</v>
      </c>
      <c r="I258" t="s">
        <v>174</v>
      </c>
      <c r="J258" t="s">
        <v>483</v>
      </c>
      <c r="K258" t="s">
        <v>541</v>
      </c>
      <c r="L258" t="s">
        <v>147</v>
      </c>
      <c r="M258" t="s">
        <v>227</v>
      </c>
      <c r="N258" t="s">
        <v>1105</v>
      </c>
      <c r="O258" t="s">
        <v>1106</v>
      </c>
      <c r="P258">
        <v>3144588946</v>
      </c>
      <c r="Q258">
        <v>0</v>
      </c>
    </row>
    <row r="259">
      <c r="A259" t="str">
        <f>_xlfn.CONCAT(TBL_Sedes[[#This Row],[Ciudad]]," ",TBL_Sedes[[#This Row],[Nombre de la sede]])</f>
        <v xml:space="preserve">Pacho Sede - Pacho</v>
      </c>
      <c r="B259">
        <v>80</v>
      </c>
      <c r="C259">
        <v>95091001</v>
      </c>
      <c r="D259" t="s">
        <v>370</v>
      </c>
      <c r="E259" t="s">
        <v>1155</v>
      </c>
      <c r="F259" t="s">
        <v>1156</v>
      </c>
      <c r="G259" t="s">
        <v>1157</v>
      </c>
      <c r="H259" t="s">
        <v>173</v>
      </c>
      <c r="I259" t="s">
        <v>174</v>
      </c>
      <c r="J259" t="s">
        <v>146</v>
      </c>
      <c r="K259" t="s">
        <v>147</v>
      </c>
      <c r="L259" t="s">
        <v>147</v>
      </c>
      <c r="M259" t="s">
        <v>148</v>
      </c>
      <c r="N259" t="s">
        <v>1158</v>
      </c>
      <c r="O259" t="s">
        <v>1159</v>
      </c>
      <c r="P259" t="s">
        <v>1160</v>
      </c>
      <c r="R259" t="s">
        <v>151</v>
      </c>
      <c r="S259" t="s">
        <v>147</v>
      </c>
      <c r="T259" t="s">
        <v>147</v>
      </c>
    </row>
    <row r="260">
      <c r="A260" t="str">
        <f>_xlfn.CONCAT(TBL_Sedes[[#This Row],[Ciudad]]," ",TBL_Sedes[[#This Row],[Nombre de la sede]])</f>
        <v xml:space="preserve">Palmira Centro De Biotecnología Industrial</v>
      </c>
      <c r="B260">
        <v>164</v>
      </c>
      <c r="C260">
        <v>95441000</v>
      </c>
      <c r="D260" t="s">
        <v>487</v>
      </c>
      <c r="E260" t="s">
        <v>1161</v>
      </c>
      <c r="F260" t="s">
        <v>1162</v>
      </c>
      <c r="G260" t="s">
        <v>1163</v>
      </c>
      <c r="H260" t="s">
        <v>144</v>
      </c>
      <c r="I260" t="s">
        <v>145</v>
      </c>
      <c r="J260" t="s">
        <v>146</v>
      </c>
      <c r="K260" t="s">
        <v>147</v>
      </c>
      <c r="L260" t="s">
        <v>147</v>
      </c>
      <c r="M260" t="s">
        <v>148</v>
      </c>
      <c r="N260" t="s">
        <v>1164</v>
      </c>
      <c r="O260" t="s">
        <v>1165</v>
      </c>
      <c r="P260">
        <v>3206140487</v>
      </c>
      <c r="Q260">
        <v>23790</v>
      </c>
      <c r="R260" t="s">
        <v>151</v>
      </c>
      <c r="S260" t="s">
        <v>147</v>
      </c>
      <c r="T260" t="s">
        <v>147</v>
      </c>
    </row>
    <row r="261">
      <c r="A261" t="str">
        <f>_xlfn.CONCAT(TBL_Sedes[[#This Row],[Ciudad]]," ",TBL_Sedes[[#This Row],[Nombre de la sede]])</f>
        <v xml:space="preserve">Palmira Sede Industrial</v>
      </c>
      <c r="B261">
        <v>316</v>
      </c>
      <c r="C261">
        <v>95441001</v>
      </c>
      <c r="D261" t="s">
        <v>487</v>
      </c>
      <c r="E261" t="s">
        <v>1161</v>
      </c>
      <c r="F261" t="s">
        <v>1141</v>
      </c>
      <c r="G261" t="s">
        <v>1166</v>
      </c>
      <c r="H261" t="s">
        <v>173</v>
      </c>
      <c r="I261" t="s">
        <v>174</v>
      </c>
      <c r="J261" t="s">
        <v>225</v>
      </c>
      <c r="K261" t="s">
        <v>147</v>
      </c>
      <c r="L261" t="s">
        <v>147</v>
      </c>
      <c r="M261" t="s">
        <v>148</v>
      </c>
      <c r="N261" t="s">
        <v>1164</v>
      </c>
      <c r="O261" t="s">
        <v>1165</v>
      </c>
      <c r="P261">
        <v>3206140487</v>
      </c>
      <c r="Q261">
        <v>23790</v>
      </c>
      <c r="S261" t="s">
        <v>1167</v>
      </c>
      <c r="T261" t="s">
        <v>1168</v>
      </c>
    </row>
    <row r="262">
      <c r="A262" t="str">
        <f>_xlfn.CONCAT(TBL_Sedes[[#This Row],[Ciudad]]," ",TBL_Sedes[[#This Row],[Nombre de la sede]])</f>
        <v xml:space="preserve">Pamplona Sede Grupo Pamplona</v>
      </c>
      <c r="B262">
        <v>125</v>
      </c>
      <c r="C262">
        <v>91191001</v>
      </c>
      <c r="D262" t="s">
        <v>671</v>
      </c>
      <c r="E262" t="s">
        <v>1169</v>
      </c>
      <c r="F262" t="s">
        <v>1170</v>
      </c>
      <c r="G262" t="s">
        <v>1171</v>
      </c>
      <c r="H262" t="s">
        <v>173</v>
      </c>
      <c r="I262" t="s">
        <v>174</v>
      </c>
      <c r="J262" t="s">
        <v>165</v>
      </c>
      <c r="K262" t="s">
        <v>392</v>
      </c>
      <c r="L262" t="s">
        <v>147</v>
      </c>
      <c r="M262" t="s">
        <v>148</v>
      </c>
      <c r="N262" t="s">
        <v>675</v>
      </c>
      <c r="O262" t="s">
        <v>676</v>
      </c>
      <c r="P262">
        <v>3167060186</v>
      </c>
      <c r="Q262">
        <v>72575</v>
      </c>
      <c r="R262" t="s">
        <v>151</v>
      </c>
      <c r="S262" t="s">
        <v>147</v>
      </c>
      <c r="T262" t="s">
        <v>147</v>
      </c>
    </row>
    <row r="263">
      <c r="A263" t="str">
        <f>_xlfn.CONCAT(TBL_Sedes[[#This Row],[Ciudad]]," ",TBL_Sedes[[#This Row],[Nombre de la sede]])</f>
        <v xml:space="preserve">Pamplona Sede Pamplona</v>
      </c>
      <c r="B263">
        <v>128</v>
      </c>
      <c r="C263">
        <v>95371002</v>
      </c>
      <c r="D263" t="s">
        <v>671</v>
      </c>
      <c r="E263" t="s">
        <v>1169</v>
      </c>
      <c r="F263" t="s">
        <v>1172</v>
      </c>
      <c r="G263" t="s">
        <v>1173</v>
      </c>
      <c r="H263" t="s">
        <v>173</v>
      </c>
      <c r="I263" t="s">
        <v>174</v>
      </c>
      <c r="J263" t="s">
        <v>199</v>
      </c>
      <c r="K263" t="s">
        <v>392</v>
      </c>
      <c r="L263" t="s">
        <v>147</v>
      </c>
      <c r="M263" t="s">
        <v>148</v>
      </c>
      <c r="N263" t="s">
        <v>675</v>
      </c>
      <c r="O263" t="s">
        <v>676</v>
      </c>
      <c r="P263">
        <v>3167060186</v>
      </c>
      <c r="Q263">
        <v>72575</v>
      </c>
      <c r="R263" t="s">
        <v>380</v>
      </c>
      <c r="S263" t="s">
        <v>147</v>
      </c>
      <c r="T263" t="s">
        <v>147</v>
      </c>
    </row>
    <row r="264">
      <c r="A264" t="str">
        <f>_xlfn.CONCAT(TBL_Sedes[[#This Row],[Ciudad]]," ",TBL_Sedes[[#This Row],[Nombre de la sede]])</f>
        <v xml:space="preserve">Pasto APE Pasto</v>
      </c>
      <c r="B264">
        <v>120</v>
      </c>
      <c r="C264">
        <v>95361001</v>
      </c>
      <c r="D264" t="s">
        <v>871</v>
      </c>
      <c r="E264" t="s">
        <v>1174</v>
      </c>
      <c r="F264" s="5" t="s">
        <v>1175</v>
      </c>
      <c r="G264" t="s">
        <v>1176</v>
      </c>
      <c r="H264" t="s">
        <v>173</v>
      </c>
      <c r="I264" t="s">
        <v>174</v>
      </c>
      <c r="J264" t="s">
        <v>157</v>
      </c>
      <c r="K264" t="s">
        <v>147</v>
      </c>
      <c r="L264" t="s">
        <v>147</v>
      </c>
      <c r="M264" t="s">
        <v>148</v>
      </c>
      <c r="N264" t="s">
        <v>943</v>
      </c>
      <c r="O264" t="s">
        <v>944</v>
      </c>
      <c r="P264">
        <v>3185699855</v>
      </c>
      <c r="Q264">
        <v>72032</v>
      </c>
      <c r="R264" t="s">
        <v>168</v>
      </c>
      <c r="S264" t="s">
        <v>1177</v>
      </c>
      <c r="T264" t="s">
        <v>1178</v>
      </c>
    </row>
    <row r="265">
      <c r="A265" t="str">
        <f>_xlfn.CONCAT(TBL_Sedes[[#This Row],[Ciudad]]," ",TBL_Sedes[[#This Row],[Nombre de la sede]])</f>
        <v xml:space="preserve">Pasto Centro Internacional De Producción Limpia - Lope</v>
      </c>
      <c r="B265" t="s">
        <v>1179</v>
      </c>
      <c r="C265">
        <v>95361000</v>
      </c>
      <c r="D265" t="s">
        <v>871</v>
      </c>
      <c r="E265" t="s">
        <v>1174</v>
      </c>
      <c r="F265" t="s">
        <v>1180</v>
      </c>
      <c r="G265" t="s">
        <v>1181</v>
      </c>
      <c r="H265" t="s">
        <v>144</v>
      </c>
      <c r="I265" t="s">
        <v>156</v>
      </c>
      <c r="J265" t="s">
        <v>146</v>
      </c>
      <c r="K265" t="s">
        <v>218</v>
      </c>
      <c r="L265" t="s">
        <v>147</v>
      </c>
      <c r="M265" t="s">
        <v>148</v>
      </c>
      <c r="N265" t="s">
        <v>1182</v>
      </c>
      <c r="O265" t="s">
        <v>1183</v>
      </c>
      <c r="P265">
        <v>3022411180</v>
      </c>
      <c r="Q265">
        <v>72117</v>
      </c>
      <c r="R265" t="s">
        <v>151</v>
      </c>
      <c r="S265" t="s">
        <v>147</v>
      </c>
      <c r="T265" t="s">
        <v>147</v>
      </c>
    </row>
    <row r="266">
      <c r="A266" t="str">
        <f>_xlfn.CONCAT(TBL_Sedes[[#This Row],[Ciudad]]," ",TBL_Sedes[[#This Row],[Nombre de la sede]])</f>
        <v xml:space="preserve">Pasto Regional Nariño</v>
      </c>
      <c r="B266">
        <v>119</v>
      </c>
      <c r="C266">
        <v>10105200</v>
      </c>
      <c r="D266" t="s">
        <v>871</v>
      </c>
      <c r="E266" t="s">
        <v>1174</v>
      </c>
      <c r="F266" t="s">
        <v>1184</v>
      </c>
      <c r="G266" t="s">
        <v>1181</v>
      </c>
      <c r="H266" t="s">
        <v>122</v>
      </c>
      <c r="I266" t="s">
        <v>156</v>
      </c>
      <c r="J266" t="s">
        <v>193</v>
      </c>
      <c r="K266" t="s">
        <v>218</v>
      </c>
      <c r="L266" t="s">
        <v>147</v>
      </c>
      <c r="M266" t="s">
        <v>148</v>
      </c>
      <c r="N266" t="s">
        <v>943</v>
      </c>
      <c r="O266" t="s">
        <v>944</v>
      </c>
      <c r="P266">
        <v>3185699855</v>
      </c>
      <c r="Q266">
        <v>72032</v>
      </c>
    </row>
    <row r="267">
      <c r="A267" t="str">
        <f>_xlfn.CONCAT(TBL_Sedes[[#This Row],[Ciudad]]," ",TBL_Sedes[[#This Row],[Nombre de la sede]])</f>
        <v xml:space="preserve">Paz De Ariporo Sede Paz De Ariporo</v>
      </c>
      <c r="B267">
        <v>286</v>
      </c>
      <c r="C267">
        <v>95191001</v>
      </c>
      <c r="D267" t="s">
        <v>1185</v>
      </c>
      <c r="E267" t="s">
        <v>1186</v>
      </c>
      <c r="F267" t="s">
        <v>1187</v>
      </c>
      <c r="G267" t="s">
        <v>1188</v>
      </c>
      <c r="H267" t="s">
        <v>173</v>
      </c>
      <c r="I267" t="s">
        <v>174</v>
      </c>
      <c r="J267" t="s">
        <v>278</v>
      </c>
      <c r="K267" t="s">
        <v>147</v>
      </c>
      <c r="L267" t="s">
        <v>147</v>
      </c>
      <c r="M267" t="s">
        <v>148</v>
      </c>
      <c r="N267" t="s">
        <v>1189</v>
      </c>
      <c r="O267" t="s">
        <v>1190</v>
      </c>
      <c r="P267">
        <v>3138568999</v>
      </c>
      <c r="Q267">
        <v>84789</v>
      </c>
      <c r="R267" t="s">
        <v>151</v>
      </c>
      <c r="S267" t="s">
        <v>147</v>
      </c>
      <c r="T267" t="s">
        <v>147</v>
      </c>
    </row>
    <row r="268">
      <c r="A268" t="str">
        <f>_xlfn.CONCAT(TBL_Sedes[[#This Row],[Ciudad]]," ",TBL_Sedes[[#This Row],[Nombre de la sede]])</f>
        <v xml:space="preserve">Pereira Centro Atención Sector Agropecuario</v>
      </c>
      <c r="B268" t="s">
        <v>1191</v>
      </c>
      <c r="C268">
        <v>91211000</v>
      </c>
      <c r="D268" t="s">
        <v>718</v>
      </c>
      <c r="E268" t="s">
        <v>1192</v>
      </c>
      <c r="F268" t="s">
        <v>1193</v>
      </c>
      <c r="G268" t="s">
        <v>1194</v>
      </c>
      <c r="H268" t="s">
        <v>144</v>
      </c>
      <c r="I268" t="s">
        <v>156</v>
      </c>
      <c r="J268" t="s">
        <v>822</v>
      </c>
      <c r="K268" t="s">
        <v>147</v>
      </c>
      <c r="L268" t="s">
        <v>147</v>
      </c>
      <c r="M268" t="s">
        <v>148</v>
      </c>
      <c r="N268" t="s">
        <v>726</v>
      </c>
      <c r="O268" t="s">
        <v>727</v>
      </c>
      <c r="P268">
        <v>3148223458</v>
      </c>
      <c r="Q268">
        <v>63130</v>
      </c>
      <c r="R268" t="s">
        <v>151</v>
      </c>
      <c r="S268" t="s">
        <v>147</v>
      </c>
      <c r="T268" t="s">
        <v>147</v>
      </c>
    </row>
    <row r="269">
      <c r="A269" t="str">
        <f>_xlfn.CONCAT(TBL_Sedes[[#This Row],[Ciudad]]," ",TBL_Sedes[[#This Row],[Nombre de la sede]])</f>
        <v xml:space="preserve">Pereira Centro De Comercio Y Servicios</v>
      </c>
      <c r="B269" t="s">
        <v>1195</v>
      </c>
      <c r="C269">
        <v>93081000</v>
      </c>
      <c r="D269" t="s">
        <v>718</v>
      </c>
      <c r="E269" t="s">
        <v>1192</v>
      </c>
      <c r="F269" t="s">
        <v>242</v>
      </c>
      <c r="G269" t="s">
        <v>1194</v>
      </c>
      <c r="H269" t="s">
        <v>144</v>
      </c>
      <c r="I269" t="s">
        <v>156</v>
      </c>
      <c r="J269" t="s">
        <v>822</v>
      </c>
      <c r="K269" t="s">
        <v>147</v>
      </c>
      <c r="L269" t="s">
        <v>147</v>
      </c>
      <c r="M269" t="s">
        <v>148</v>
      </c>
      <c r="N269" t="s">
        <v>726</v>
      </c>
      <c r="O269" t="s">
        <v>727</v>
      </c>
      <c r="P269">
        <v>3148223458</v>
      </c>
      <c r="Q269">
        <v>63130</v>
      </c>
      <c r="R269" t="s">
        <v>151</v>
      </c>
      <c r="S269" t="s">
        <v>147</v>
      </c>
      <c r="T269" t="s">
        <v>147</v>
      </c>
    </row>
    <row r="270">
      <c r="A270" t="str">
        <f>_xlfn.CONCAT(TBL_Sedes[[#This Row],[Ciudad]]," ",TBL_Sedes[[#This Row],[Nombre de la sede]])</f>
        <v xml:space="preserve">Pereira Escuela Gastronómica Y Cultural "Calle De La Fundación"</v>
      </c>
      <c r="B270">
        <v>256</v>
      </c>
      <c r="C270">
        <v>93081002</v>
      </c>
      <c r="D270" t="s">
        <v>718</v>
      </c>
      <c r="E270" t="s">
        <v>1192</v>
      </c>
      <c r="F270" t="s">
        <v>1196</v>
      </c>
      <c r="G270" t="s">
        <v>1197</v>
      </c>
      <c r="H270" t="s">
        <v>173</v>
      </c>
      <c r="I270" t="s">
        <v>174</v>
      </c>
      <c r="J270" t="s">
        <v>165</v>
      </c>
      <c r="K270" t="s">
        <v>165</v>
      </c>
      <c r="L270" t="s">
        <v>165</v>
      </c>
      <c r="M270" t="s">
        <v>148</v>
      </c>
      <c r="N270" t="s">
        <v>726</v>
      </c>
      <c r="O270" t="s">
        <v>727</v>
      </c>
      <c r="P270">
        <v>3148223458</v>
      </c>
      <c r="Q270">
        <v>63130</v>
      </c>
    </row>
    <row r="271">
      <c r="A271" t="str">
        <f>_xlfn.CONCAT(TBL_Sedes[[#This Row],[Ciudad]]," ",TBL_Sedes[[#This Row],[Nombre de la sede]])</f>
        <v xml:space="preserve">Pereira Regional Risaralda</v>
      </c>
      <c r="B271">
        <v>133</v>
      </c>
      <c r="C271">
        <v>10106600</v>
      </c>
      <c r="D271" t="s">
        <v>718</v>
      </c>
      <c r="E271" t="s">
        <v>1192</v>
      </c>
      <c r="F271" t="s">
        <v>1198</v>
      </c>
      <c r="G271" t="s">
        <v>1194</v>
      </c>
      <c r="H271" t="s">
        <v>122</v>
      </c>
      <c r="I271" t="s">
        <v>156</v>
      </c>
      <c r="J271" t="s">
        <v>199</v>
      </c>
      <c r="K271" t="s">
        <v>455</v>
      </c>
      <c r="L271" t="s">
        <v>147</v>
      </c>
      <c r="M271" t="s">
        <v>148</v>
      </c>
      <c r="N271" t="s">
        <v>726</v>
      </c>
      <c r="O271" t="s">
        <v>727</v>
      </c>
      <c r="P271">
        <v>3148223458</v>
      </c>
      <c r="Q271">
        <v>63130</v>
      </c>
    </row>
    <row r="272">
      <c r="A272" t="str">
        <f>_xlfn.CONCAT(TBL_Sedes[[#This Row],[Ciudad]]," ",TBL_Sedes[[#This Row],[Nombre de la sede]])</f>
        <v xml:space="preserve">Pereira Sede Centro De Pereira</v>
      </c>
      <c r="B272">
        <v>134</v>
      </c>
      <c r="C272">
        <v>91211001</v>
      </c>
      <c r="D272" t="s">
        <v>718</v>
      </c>
      <c r="E272" t="s">
        <v>1192</v>
      </c>
      <c r="F272" t="s">
        <v>1199</v>
      </c>
      <c r="G272" t="s">
        <v>1200</v>
      </c>
      <c r="H272" t="s">
        <v>173</v>
      </c>
      <c r="I272" t="s">
        <v>174</v>
      </c>
      <c r="J272" t="s">
        <v>199</v>
      </c>
      <c r="K272" t="s">
        <v>147</v>
      </c>
      <c r="L272" t="s">
        <v>147</v>
      </c>
      <c r="M272" t="s">
        <v>148</v>
      </c>
      <c r="N272" t="s">
        <v>726</v>
      </c>
      <c r="O272" t="s">
        <v>727</v>
      </c>
      <c r="P272">
        <v>3148223458</v>
      </c>
      <c r="Q272">
        <v>63130</v>
      </c>
      <c r="R272" t="s">
        <v>151</v>
      </c>
      <c r="S272" t="s">
        <v>147</v>
      </c>
      <c r="T272" t="s">
        <v>147</v>
      </c>
    </row>
    <row r="273">
      <c r="A273" t="str">
        <f>_xlfn.CONCAT(TBL_Sedes[[#This Row],[Ciudad]]," ",TBL_Sedes[[#This Row],[Nombre de la sede]])</f>
        <v xml:space="preserve">Piedecuesta Centro Atención Sector Agropecuario</v>
      </c>
      <c r="B273">
        <v>139</v>
      </c>
      <c r="C273">
        <v>91221000</v>
      </c>
      <c r="D273" t="s">
        <v>230</v>
      </c>
      <c r="E273" t="s">
        <v>1201</v>
      </c>
      <c r="F273" t="s">
        <v>1193</v>
      </c>
      <c r="G273" t="s">
        <v>1202</v>
      </c>
      <c r="H273" t="s">
        <v>144</v>
      </c>
      <c r="I273" t="s">
        <v>145</v>
      </c>
      <c r="J273" t="s">
        <v>653</v>
      </c>
      <c r="K273" t="s">
        <v>1203</v>
      </c>
      <c r="L273" t="s">
        <v>147</v>
      </c>
      <c r="M273" t="s">
        <v>148</v>
      </c>
      <c r="N273" t="s">
        <v>1204</v>
      </c>
      <c r="O273" t="s">
        <v>1205</v>
      </c>
      <c r="P273">
        <v>3186445981</v>
      </c>
      <c r="R273" t="s">
        <v>151</v>
      </c>
      <c r="S273" t="s">
        <v>147</v>
      </c>
      <c r="T273" t="s">
        <v>147</v>
      </c>
    </row>
    <row r="274">
      <c r="A274" t="str">
        <f>_xlfn.CONCAT(TBL_Sedes[[#This Row],[Ciudad]]," ",TBL_Sedes[[#This Row],[Nombre de la sede]])</f>
        <v xml:space="preserve">Pitalito Centro De Gestión Y Desarrollo Sostenible Surcolombiano</v>
      </c>
      <c r="B274">
        <v>104</v>
      </c>
      <c r="C274">
        <v>95281000</v>
      </c>
      <c r="D274" t="s">
        <v>574</v>
      </c>
      <c r="E274" t="s">
        <v>1206</v>
      </c>
      <c r="F274" t="s">
        <v>1207</v>
      </c>
      <c r="G274" t="s">
        <v>1208</v>
      </c>
      <c r="H274" t="s">
        <v>144</v>
      </c>
      <c r="I274" t="s">
        <v>156</v>
      </c>
      <c r="J274" t="s">
        <v>875</v>
      </c>
      <c r="K274" t="s">
        <v>875</v>
      </c>
      <c r="L274" t="s">
        <v>147</v>
      </c>
      <c r="M274" t="s">
        <v>148</v>
      </c>
      <c r="N274" t="s">
        <v>1209</v>
      </c>
      <c r="O274" t="s">
        <v>1210</v>
      </c>
      <c r="P274">
        <v>3175139012</v>
      </c>
      <c r="Q274">
        <v>83802</v>
      </c>
      <c r="R274" t="s">
        <v>151</v>
      </c>
      <c r="S274" t="s">
        <v>147</v>
      </c>
      <c r="T274" t="s">
        <v>147</v>
      </c>
    </row>
    <row r="275">
      <c r="A275" t="str">
        <f>_xlfn.CONCAT(TBL_Sedes[[#This Row],[Ciudad]]," ",TBL_Sedes[[#This Row],[Nombre de la sede]])</f>
        <v xml:space="preserve">Pitalito Tecnoparque Agroecológico Yamboró.</v>
      </c>
      <c r="B275">
        <v>105</v>
      </c>
      <c r="C275">
        <v>95281001</v>
      </c>
      <c r="D275" t="s">
        <v>574</v>
      </c>
      <c r="E275" t="s">
        <v>1206</v>
      </c>
      <c r="F275" t="s">
        <v>1211</v>
      </c>
      <c r="G275" t="s">
        <v>1212</v>
      </c>
      <c r="H275" t="s">
        <v>173</v>
      </c>
      <c r="I275" t="s">
        <v>156</v>
      </c>
      <c r="J275" t="s">
        <v>506</v>
      </c>
      <c r="K275" t="s">
        <v>506</v>
      </c>
      <c r="L275" t="s">
        <v>506</v>
      </c>
      <c r="M275" t="s">
        <v>148</v>
      </c>
      <c r="N275" t="s">
        <v>1209</v>
      </c>
      <c r="O275" t="s">
        <v>1210</v>
      </c>
      <c r="P275">
        <v>3175139012</v>
      </c>
      <c r="Q275">
        <v>83802</v>
      </c>
      <c r="R275" t="s">
        <v>151</v>
      </c>
      <c r="S275" t="s">
        <v>147</v>
      </c>
      <c r="T275" t="s">
        <v>147</v>
      </c>
    </row>
    <row r="276">
      <c r="A276" t="str">
        <f>_xlfn.CONCAT(TBL_Sedes[[#This Row],[Ciudad]]," ",TBL_Sedes[[#This Row],[Nombre de la sede]])</f>
        <v xml:space="preserve">Plato Sede Plato</v>
      </c>
      <c r="B276">
        <v>308</v>
      </c>
      <c r="C276">
        <v>95291050</v>
      </c>
      <c r="D276" t="s">
        <v>635</v>
      </c>
      <c r="E276" t="s">
        <v>1213</v>
      </c>
      <c r="F276" t="s">
        <v>1214</v>
      </c>
      <c r="G276" t="s">
        <v>1215</v>
      </c>
      <c r="H276" t="s">
        <v>217</v>
      </c>
      <c r="I276" t="s">
        <v>174</v>
      </c>
      <c r="J276" t="s">
        <v>689</v>
      </c>
      <c r="K276" t="s">
        <v>147</v>
      </c>
      <c r="L276" t="s">
        <v>147</v>
      </c>
      <c r="M276" t="s">
        <v>148</v>
      </c>
      <c r="N276" t="s">
        <v>639</v>
      </c>
      <c r="O276" t="s">
        <v>640</v>
      </c>
      <c r="P276">
        <v>3165209569</v>
      </c>
      <c r="Q276">
        <v>54054</v>
      </c>
      <c r="R276" t="s">
        <v>168</v>
      </c>
      <c r="S276" t="s">
        <v>1177</v>
      </c>
      <c r="T276" t="s">
        <v>170</v>
      </c>
    </row>
    <row r="277">
      <c r="A277" t="str">
        <f>_xlfn.CONCAT(TBL_Sedes[[#This Row],[Ciudad]]," ",TBL_Sedes[[#This Row],[Nombre de la sede]])</f>
        <v xml:space="preserve">Playón Sede Aguascalientes</v>
      </c>
      <c r="B277">
        <v>140</v>
      </c>
      <c r="C277">
        <v>91221001</v>
      </c>
      <c r="D277" t="s">
        <v>230</v>
      </c>
      <c r="E277" t="s">
        <v>1216</v>
      </c>
      <c r="F277" t="s">
        <v>1217</v>
      </c>
      <c r="G277" t="s">
        <v>1218</v>
      </c>
      <c r="H277" t="s">
        <v>173</v>
      </c>
      <c r="I277" t="s">
        <v>174</v>
      </c>
      <c r="J277" t="s">
        <v>578</v>
      </c>
      <c r="K277" t="s">
        <v>147</v>
      </c>
      <c r="L277" t="s">
        <v>147</v>
      </c>
      <c r="M277" t="s">
        <v>148</v>
      </c>
      <c r="N277" t="s">
        <v>1204</v>
      </c>
      <c r="O277" t="s">
        <v>1205</v>
      </c>
      <c r="P277">
        <v>3186445981</v>
      </c>
      <c r="R277" t="s">
        <v>151</v>
      </c>
      <c r="S277" t="s">
        <v>147</v>
      </c>
      <c r="T277" t="s">
        <v>147</v>
      </c>
    </row>
    <row r="278">
      <c r="A278" t="str">
        <f>_xlfn.CONCAT(TBL_Sedes[[#This Row],[Ciudad]]," ",TBL_Sedes[[#This Row],[Nombre de la sede]])</f>
        <v xml:space="preserve">Popayán Archivo Central</v>
      </c>
      <c r="B278">
        <v>320</v>
      </c>
      <c r="C278">
        <v>10101951</v>
      </c>
      <c r="D278" t="s">
        <v>841</v>
      </c>
      <c r="E278" t="s">
        <v>1219</v>
      </c>
      <c r="F278" t="s">
        <v>1220</v>
      </c>
      <c r="G278" t="s">
        <v>1221</v>
      </c>
      <c r="H278" t="s">
        <v>217</v>
      </c>
      <c r="I278" t="s">
        <v>174</v>
      </c>
      <c r="J278" t="s">
        <v>146</v>
      </c>
      <c r="K278" t="s">
        <v>147</v>
      </c>
      <c r="L278" t="s">
        <v>147</v>
      </c>
      <c r="M278" t="s">
        <v>148</v>
      </c>
      <c r="N278" t="s">
        <v>845</v>
      </c>
      <c r="O278" t="s">
        <v>846</v>
      </c>
      <c r="P278">
        <v>3112879904</v>
      </c>
      <c r="Q278">
        <v>22438</v>
      </c>
      <c r="R278" t="s">
        <v>168</v>
      </c>
      <c r="S278" t="s">
        <v>1222</v>
      </c>
      <c r="T278" t="s">
        <v>170</v>
      </c>
    </row>
    <row r="279">
      <c r="A279" t="str">
        <f>_xlfn.CONCAT(TBL_Sedes[[#This Row],[Ciudad]]," ",TBL_Sedes[[#This Row],[Nombre de la sede]])</f>
        <v xml:space="preserve">Popayán Centro Agropecuario</v>
      </c>
      <c r="B279">
        <v>66</v>
      </c>
      <c r="C279">
        <v>91131000</v>
      </c>
      <c r="D279" t="s">
        <v>841</v>
      </c>
      <c r="E279" t="s">
        <v>1219</v>
      </c>
      <c r="F279" t="s">
        <v>1223</v>
      </c>
      <c r="G279" t="s">
        <v>1224</v>
      </c>
      <c r="H279" t="s">
        <v>144</v>
      </c>
      <c r="I279" t="s">
        <v>156</v>
      </c>
      <c r="J279" t="s">
        <v>206</v>
      </c>
      <c r="K279" t="s">
        <v>158</v>
      </c>
      <c r="L279" t="s">
        <v>147</v>
      </c>
      <c r="M279" t="s">
        <v>148</v>
      </c>
      <c r="N279" t="s">
        <v>1225</v>
      </c>
      <c r="O279" t="s">
        <v>1226</v>
      </c>
      <c r="P279">
        <v>3113185965</v>
      </c>
      <c r="Q279">
        <v>22116</v>
      </c>
      <c r="R279" t="s">
        <v>151</v>
      </c>
      <c r="S279" t="s">
        <v>147</v>
      </c>
      <c r="T279" t="s">
        <v>147</v>
      </c>
    </row>
    <row r="280">
      <c r="A280" t="str">
        <f>_xlfn.CONCAT(TBL_Sedes[[#This Row],[Ciudad]]," ",TBL_Sedes[[#This Row],[Nombre de la sede]])</f>
        <v xml:space="preserve">Popayán Centro De Comercio Y Servicios</v>
      </c>
      <c r="B280">
        <v>68</v>
      </c>
      <c r="C280">
        <v>93071000</v>
      </c>
      <c r="D280" t="s">
        <v>841</v>
      </c>
      <c r="E280" t="s">
        <v>1219</v>
      </c>
      <c r="F280" t="s">
        <v>242</v>
      </c>
      <c r="G280" t="s">
        <v>1227</v>
      </c>
      <c r="H280" t="s">
        <v>144</v>
      </c>
      <c r="I280" t="s">
        <v>156</v>
      </c>
      <c r="J280" t="s">
        <v>206</v>
      </c>
      <c r="K280" t="s">
        <v>206</v>
      </c>
      <c r="L280" t="s">
        <v>147</v>
      </c>
      <c r="M280" t="s">
        <v>148</v>
      </c>
      <c r="N280" t="s">
        <v>845</v>
      </c>
      <c r="O280" t="s">
        <v>846</v>
      </c>
      <c r="P280">
        <v>3112879904</v>
      </c>
      <c r="Q280">
        <v>22438</v>
      </c>
      <c r="R280" t="s">
        <v>151</v>
      </c>
      <c r="S280" t="s">
        <v>147</v>
      </c>
      <c r="T280" t="s">
        <v>147</v>
      </c>
    </row>
    <row r="281">
      <c r="A281" t="str">
        <f>_xlfn.CONCAT(TBL_Sedes[[#This Row],[Ciudad]]," ",TBL_Sedes[[#This Row],[Nombre de la sede]])</f>
        <v xml:space="preserve">Popayán Centro De Teleinformática Y Producción Industrial</v>
      </c>
      <c r="B281" t="s">
        <v>1228</v>
      </c>
      <c r="C281">
        <v>92211000</v>
      </c>
      <c r="D281" t="s">
        <v>841</v>
      </c>
      <c r="E281" t="s">
        <v>1219</v>
      </c>
      <c r="F281" t="s">
        <v>1229</v>
      </c>
      <c r="G281" t="s">
        <v>1230</v>
      </c>
      <c r="H281" t="s">
        <v>144</v>
      </c>
      <c r="I281" t="s">
        <v>156</v>
      </c>
      <c r="J281" t="s">
        <v>206</v>
      </c>
      <c r="K281" t="s">
        <v>1203</v>
      </c>
      <c r="L281" t="s">
        <v>147</v>
      </c>
      <c r="M281" t="s">
        <v>360</v>
      </c>
      <c r="N281" t="s">
        <v>1225</v>
      </c>
      <c r="O281" t="s">
        <v>1226</v>
      </c>
      <c r="P281">
        <v>3113185965</v>
      </c>
      <c r="Q281">
        <v>22116</v>
      </c>
      <c r="R281" t="s">
        <v>151</v>
      </c>
      <c r="S281" t="s">
        <v>147</v>
      </c>
      <c r="T281" t="s">
        <v>147</v>
      </c>
    </row>
    <row r="282">
      <c r="A282" t="str">
        <f>_xlfn.CONCAT(TBL_Sedes[[#This Row],[Ciudad]]," ",TBL_Sedes[[#This Row],[Nombre de la sede]])</f>
        <v xml:space="preserve">Popayán Regional Cauca</v>
      </c>
      <c r="B282">
        <v>65</v>
      </c>
      <c r="C282">
        <v>10101900</v>
      </c>
      <c r="D282" t="s">
        <v>841</v>
      </c>
      <c r="E282" t="s">
        <v>1219</v>
      </c>
      <c r="F282" t="s">
        <v>1231</v>
      </c>
      <c r="G282" t="s">
        <v>1232</v>
      </c>
      <c r="H282" t="s">
        <v>122</v>
      </c>
      <c r="I282" t="s">
        <v>145</v>
      </c>
      <c r="J282" t="s">
        <v>146</v>
      </c>
      <c r="K282" t="s">
        <v>513</v>
      </c>
      <c r="L282" t="s">
        <v>147</v>
      </c>
      <c r="M282" t="s">
        <v>148</v>
      </c>
      <c r="N282" t="s">
        <v>845</v>
      </c>
      <c r="O282" t="s">
        <v>846</v>
      </c>
      <c r="P282">
        <v>3112879904</v>
      </c>
      <c r="Q282">
        <v>22438</v>
      </c>
      <c r="R282" t="s">
        <v>151</v>
      </c>
      <c r="S282" t="s">
        <v>147</v>
      </c>
      <c r="T282" t="s">
        <v>147</v>
      </c>
    </row>
    <row r="283">
      <c r="A283" t="str">
        <f>_xlfn.CONCAT(TBL_Sedes[[#This Row],[Ciudad]]," ",TBL_Sedes[[#This Row],[Nombre de la sede]])</f>
        <v xml:space="preserve">Popayán San Jose</v>
      </c>
      <c r="B283">
        <v>321</v>
      </c>
      <c r="C283">
        <v>91131050</v>
      </c>
      <c r="D283" t="s">
        <v>841</v>
      </c>
      <c r="E283" t="s">
        <v>1219</v>
      </c>
      <c r="F283" t="s">
        <v>1233</v>
      </c>
      <c r="G283" t="s">
        <v>1234</v>
      </c>
      <c r="H283" t="s">
        <v>217</v>
      </c>
      <c r="I283" t="s">
        <v>174</v>
      </c>
      <c r="J283" t="s">
        <v>259</v>
      </c>
      <c r="K283" t="s">
        <v>147</v>
      </c>
      <c r="L283" t="s">
        <v>147</v>
      </c>
      <c r="M283" t="s">
        <v>148</v>
      </c>
      <c r="N283" t="s">
        <v>1235</v>
      </c>
      <c r="O283" t="s">
        <v>1236</v>
      </c>
      <c r="P283">
        <v>3202684083</v>
      </c>
      <c r="Q283">
        <v>22204</v>
      </c>
      <c r="R283" t="s">
        <v>168</v>
      </c>
      <c r="S283" t="s">
        <v>1222</v>
      </c>
      <c r="T283" t="s">
        <v>170</v>
      </c>
    </row>
    <row r="284">
      <c r="A284" t="str">
        <f>_xlfn.CONCAT(TBL_Sedes[[#This Row],[Ciudad]]," ",TBL_Sedes[[#This Row],[Nombre de la sede]])</f>
        <v xml:space="preserve">Popayán Sede INEM</v>
      </c>
      <c r="B284">
        <v>342</v>
      </c>
      <c r="C284">
        <v>93071004</v>
      </c>
      <c r="D284" t="s">
        <v>841</v>
      </c>
      <c r="E284" t="s">
        <v>1219</v>
      </c>
      <c r="F284" t="s">
        <v>1237</v>
      </c>
      <c r="G284" t="s">
        <v>1238</v>
      </c>
      <c r="H284" t="s">
        <v>366</v>
      </c>
      <c r="I284" t="s">
        <v>174</v>
      </c>
      <c r="J284" t="s">
        <v>1239</v>
      </c>
      <c r="K284" t="s">
        <v>147</v>
      </c>
      <c r="L284" t="s">
        <v>147</v>
      </c>
      <c r="M284" t="s">
        <v>148</v>
      </c>
      <c r="N284" t="s">
        <v>845</v>
      </c>
      <c r="O284" t="s">
        <v>846</v>
      </c>
      <c r="P284">
        <v>3112879904</v>
      </c>
      <c r="Q284">
        <v>22438</v>
      </c>
      <c r="R284" t="s">
        <v>168</v>
      </c>
      <c r="S284" t="s">
        <v>1222</v>
      </c>
      <c r="T284" t="s">
        <v>170</v>
      </c>
    </row>
    <row r="285">
      <c r="A285" t="str">
        <f>_xlfn.CONCAT(TBL_Sedes[[#This Row],[Ciudad]]," ",TBL_Sedes[[#This Row],[Nombre de la sede]])</f>
        <v xml:space="preserve">Popayán Snft</v>
      </c>
      <c r="B285">
        <v>319</v>
      </c>
      <c r="C285">
        <v>10101950</v>
      </c>
      <c r="D285" t="s">
        <v>841</v>
      </c>
      <c r="E285" t="s">
        <v>1219</v>
      </c>
      <c r="F285" t="s">
        <v>1240</v>
      </c>
      <c r="G285" t="s">
        <v>1241</v>
      </c>
      <c r="H285" t="s">
        <v>217</v>
      </c>
      <c r="I285" t="s">
        <v>174</v>
      </c>
      <c r="J285" t="s">
        <v>146</v>
      </c>
      <c r="K285" t="s">
        <v>218</v>
      </c>
      <c r="L285" t="s">
        <v>147</v>
      </c>
      <c r="M285" t="s">
        <v>148</v>
      </c>
      <c r="N285" t="s">
        <v>845</v>
      </c>
      <c r="O285" t="s">
        <v>846</v>
      </c>
      <c r="P285">
        <v>3112879904</v>
      </c>
      <c r="Q285">
        <v>22438</v>
      </c>
    </row>
    <row r="286">
      <c r="A286" t="str">
        <f>_xlfn.CONCAT(TBL_Sedes[[#This Row],[Ciudad]]," ",TBL_Sedes[[#This Row],[Nombre de la sede]])</f>
        <v xml:space="preserve">Popayán Subsede Valencia</v>
      </c>
      <c r="B286">
        <v>322</v>
      </c>
      <c r="C286">
        <v>93071051</v>
      </c>
      <c r="D286" t="s">
        <v>841</v>
      </c>
      <c r="E286" t="s">
        <v>1219</v>
      </c>
      <c r="F286" t="s">
        <v>1242</v>
      </c>
      <c r="G286" t="s">
        <v>1243</v>
      </c>
      <c r="H286" t="s">
        <v>217</v>
      </c>
      <c r="I286" t="s">
        <v>174</v>
      </c>
      <c r="J286" t="s">
        <v>259</v>
      </c>
      <c r="K286" t="s">
        <v>147</v>
      </c>
      <c r="L286" t="s">
        <v>147</v>
      </c>
      <c r="M286" t="s">
        <v>360</v>
      </c>
      <c r="N286" t="s">
        <v>845</v>
      </c>
      <c r="O286" t="s">
        <v>846</v>
      </c>
      <c r="P286">
        <v>3112879904</v>
      </c>
      <c r="Q286">
        <v>22438</v>
      </c>
    </row>
    <row r="287">
      <c r="A287" t="str">
        <f>_xlfn.CONCAT(TBL_Sedes[[#This Row],[Ciudad]]," ",TBL_Sedes[[#This Row],[Nombre de la sede]])</f>
        <v xml:space="preserve">Popayán Tecnoparque Nodo Popayán</v>
      </c>
      <c r="B287">
        <v>300</v>
      </c>
      <c r="C287">
        <v>93071003</v>
      </c>
      <c r="D287" t="s">
        <v>841</v>
      </c>
      <c r="E287" t="s">
        <v>1219</v>
      </c>
      <c r="F287" t="s">
        <v>1244</v>
      </c>
      <c r="G287" t="s">
        <v>1245</v>
      </c>
      <c r="H287" t="s">
        <v>144</v>
      </c>
      <c r="I287" t="s">
        <v>174</v>
      </c>
      <c r="M287" t="s">
        <v>148</v>
      </c>
      <c r="N287" t="s">
        <v>845</v>
      </c>
      <c r="O287" t="s">
        <v>846</v>
      </c>
      <c r="P287">
        <v>3112879904</v>
      </c>
      <c r="Q287">
        <v>22438</v>
      </c>
      <c r="R287" t="s">
        <v>338</v>
      </c>
    </row>
    <row r="288">
      <c r="A288" t="str">
        <f>_xlfn.CONCAT(TBL_Sedes[[#This Row],[Ciudad]]," ",TBL_Sedes[[#This Row],[Nombre de la sede]])</f>
        <v xml:space="preserve">Providencia Campamento Providencia</v>
      </c>
      <c r="B288">
        <v>310</v>
      </c>
      <c r="C288">
        <v>95391003</v>
      </c>
      <c r="D288" t="s">
        <v>1246</v>
      </c>
      <c r="E288" t="s">
        <v>1247</v>
      </c>
      <c r="F288" t="s">
        <v>1248</v>
      </c>
      <c r="G288" t="s">
        <v>1249</v>
      </c>
      <c r="H288" t="s">
        <v>173</v>
      </c>
      <c r="I288" t="s">
        <v>174</v>
      </c>
      <c r="J288" t="s">
        <v>689</v>
      </c>
      <c r="K288" t="s">
        <v>147</v>
      </c>
      <c r="L288" t="s">
        <v>147</v>
      </c>
      <c r="M288" t="s">
        <v>148</v>
      </c>
      <c r="N288" t="s">
        <v>1250</v>
      </c>
      <c r="O288" t="s">
        <v>1251</v>
      </c>
      <c r="P288">
        <v>3204743272</v>
      </c>
      <c r="Q288">
        <v>85020</v>
      </c>
      <c r="R288" t="s">
        <v>338</v>
      </c>
      <c r="S288" t="s">
        <v>1252</v>
      </c>
      <c r="T288" t="s">
        <v>182</v>
      </c>
    </row>
    <row r="289">
      <c r="A289" t="str">
        <f>_xlfn.CONCAT(TBL_Sedes[[#This Row],[Ciudad]]," ",TBL_Sedes[[#This Row],[Nombre de la sede]])</f>
        <v xml:space="preserve">Providencia Nueva Sede Providencia</v>
      </c>
      <c r="B289">
        <v>347</v>
      </c>
      <c r="C289">
        <v>95391004</v>
      </c>
      <c r="D289" t="s">
        <v>1246</v>
      </c>
      <c r="E289" t="s">
        <v>1247</v>
      </c>
      <c r="F289" t="s">
        <v>1253</v>
      </c>
      <c r="G289" t="s">
        <v>1254</v>
      </c>
      <c r="H289" t="s">
        <v>224</v>
      </c>
      <c r="I289" t="s">
        <v>174</v>
      </c>
      <c r="J289" t="s">
        <v>1255</v>
      </c>
      <c r="K289" t="s">
        <v>147</v>
      </c>
      <c r="L289" t="s">
        <v>147</v>
      </c>
      <c r="M289" t="s">
        <v>227</v>
      </c>
      <c r="N289" t="s">
        <v>1256</v>
      </c>
      <c r="O289" t="s">
        <v>1251</v>
      </c>
      <c r="P289">
        <v>3212384698</v>
      </c>
    </row>
    <row r="290">
      <c r="A290" t="str">
        <f>_xlfn.CONCAT(TBL_Sedes[[#This Row],[Ciudad]]," ",TBL_Sedes[[#This Row],[Nombre de la sede]])</f>
        <v xml:space="preserve">Providencia Sede Providencia</v>
      </c>
      <c r="B290">
        <v>174</v>
      </c>
      <c r="C290">
        <v>95391001</v>
      </c>
      <c r="D290" t="s">
        <v>1246</v>
      </c>
      <c r="E290" t="s">
        <v>1247</v>
      </c>
      <c r="F290" t="s">
        <v>1257</v>
      </c>
      <c r="G290" t="s">
        <v>1258</v>
      </c>
      <c r="H290" t="s">
        <v>173</v>
      </c>
      <c r="I290" t="s">
        <v>174</v>
      </c>
      <c r="J290" t="s">
        <v>206</v>
      </c>
      <c r="K290" t="s">
        <v>147</v>
      </c>
      <c r="L290" t="s">
        <v>147</v>
      </c>
      <c r="M290" t="s">
        <v>360</v>
      </c>
      <c r="N290" t="s">
        <v>1259</v>
      </c>
      <c r="O290" t="s">
        <v>1251</v>
      </c>
      <c r="P290">
        <v>3153616881</v>
      </c>
      <c r="Q290">
        <v>85020</v>
      </c>
      <c r="R290" t="s">
        <v>380</v>
      </c>
      <c r="S290" t="s">
        <v>147</v>
      </c>
      <c r="T290" t="s">
        <v>147</v>
      </c>
    </row>
    <row r="291">
      <c r="A291" t="str">
        <f>_xlfn.CONCAT(TBL_Sedes[[#This Row],[Ciudad]]," ",TBL_Sedes[[#This Row],[Nombre de la sede]])</f>
        <v xml:space="preserve">Puerto Asís Centro Agroforestal Y Acuícola Arapaima</v>
      </c>
      <c r="B291" t="s">
        <v>1260</v>
      </c>
      <c r="C291">
        <v>95181000</v>
      </c>
      <c r="D291" t="s">
        <v>1100</v>
      </c>
      <c r="E291" t="s">
        <v>1261</v>
      </c>
      <c r="F291" t="s">
        <v>1262</v>
      </c>
      <c r="G291" t="s">
        <v>1263</v>
      </c>
      <c r="H291" t="s">
        <v>144</v>
      </c>
      <c r="I291" t="s">
        <v>156</v>
      </c>
      <c r="J291" t="s">
        <v>165</v>
      </c>
      <c r="K291" t="s">
        <v>218</v>
      </c>
      <c r="L291" t="s">
        <v>147</v>
      </c>
      <c r="M291" t="s">
        <v>148</v>
      </c>
      <c r="N291" t="s">
        <v>1105</v>
      </c>
      <c r="O291" t="s">
        <v>1106</v>
      </c>
      <c r="P291">
        <v>3144588946</v>
      </c>
      <c r="Q291" t="s">
        <v>1107</v>
      </c>
      <c r="R291" t="s">
        <v>338</v>
      </c>
      <c r="S291" t="s">
        <v>1108</v>
      </c>
      <c r="T291" t="s">
        <v>182</v>
      </c>
    </row>
    <row r="292">
      <c r="A292" t="str">
        <f>_xlfn.CONCAT(TBL_Sedes[[#This Row],[Ciudad]]," ",TBL_Sedes[[#This Row],[Nombre de la sede]])</f>
        <v xml:space="preserve">Puerto Asís Regional Putumayo</v>
      </c>
      <c r="B292">
        <v>171</v>
      </c>
      <c r="C292">
        <v>10108600</v>
      </c>
      <c r="D292" t="s">
        <v>1100</v>
      </c>
      <c r="E292" t="s">
        <v>1261</v>
      </c>
      <c r="F292" t="s">
        <v>1264</v>
      </c>
      <c r="G292" t="s">
        <v>1263</v>
      </c>
      <c r="H292" t="s">
        <v>122</v>
      </c>
      <c r="I292" t="s">
        <v>156</v>
      </c>
      <c r="J292" t="s">
        <v>513</v>
      </c>
      <c r="K292" t="s">
        <v>147</v>
      </c>
      <c r="L292" t="s">
        <v>147</v>
      </c>
      <c r="M292" t="s">
        <v>194</v>
      </c>
      <c r="N292" t="s">
        <v>1105</v>
      </c>
      <c r="O292" t="s">
        <v>1106</v>
      </c>
      <c r="P292">
        <v>3144588946</v>
      </c>
      <c r="Q292" t="s">
        <v>1107</v>
      </c>
      <c r="R292" t="s">
        <v>338</v>
      </c>
      <c r="S292" t="s">
        <v>1108</v>
      </c>
      <c r="T292" t="s">
        <v>182</v>
      </c>
    </row>
    <row r="293">
      <c r="A293" t="str">
        <f>_xlfn.CONCAT(TBL_Sedes[[#This Row],[Ciudad]]," ",TBL_Sedes[[#This Row],[Nombre de la sede]])</f>
        <v xml:space="preserve">Puerto Berrio Complejo Tecnológico Minero Agroempresarial</v>
      </c>
      <c r="B293">
        <v>12</v>
      </c>
      <c r="C293">
        <v>95021000</v>
      </c>
      <c r="D293" t="s">
        <v>152</v>
      </c>
      <c r="E293" t="s">
        <v>1265</v>
      </c>
      <c r="F293" t="s">
        <v>1266</v>
      </c>
      <c r="G293" t="s">
        <v>1267</v>
      </c>
      <c r="H293" t="s">
        <v>144</v>
      </c>
      <c r="I293" t="s">
        <v>145</v>
      </c>
      <c r="J293" t="s">
        <v>165</v>
      </c>
      <c r="K293" t="s">
        <v>584</v>
      </c>
      <c r="L293" t="s">
        <v>147</v>
      </c>
      <c r="M293" t="s">
        <v>148</v>
      </c>
      <c r="N293" t="s">
        <v>648</v>
      </c>
      <c r="O293" t="s">
        <v>649</v>
      </c>
      <c r="P293">
        <v>3216742802</v>
      </c>
      <c r="Q293">
        <v>43768</v>
      </c>
      <c r="R293" t="s">
        <v>151</v>
      </c>
      <c r="S293" t="s">
        <v>147</v>
      </c>
      <c r="T293" t="s">
        <v>147</v>
      </c>
    </row>
    <row r="294">
      <c r="A294" t="str">
        <f>_xlfn.CONCAT(TBL_Sedes[[#This Row],[Ciudad]]," ",TBL_Sedes[[#This Row],[Nombre de la sede]])</f>
        <v xml:space="preserve">Puerto Boyacá Sede Puerto Boyacá</v>
      </c>
      <c r="B294">
        <v>61</v>
      </c>
      <c r="C294">
        <v>95151001</v>
      </c>
      <c r="D294" t="s">
        <v>503</v>
      </c>
      <c r="E294" t="s">
        <v>1268</v>
      </c>
      <c r="F294" t="s">
        <v>1269</v>
      </c>
      <c r="G294" t="s">
        <v>1270</v>
      </c>
      <c r="H294" t="s">
        <v>173</v>
      </c>
      <c r="I294" t="s">
        <v>174</v>
      </c>
      <c r="J294" t="s">
        <v>146</v>
      </c>
      <c r="K294" t="s">
        <v>147</v>
      </c>
      <c r="L294" t="s">
        <v>147</v>
      </c>
      <c r="M294" t="s">
        <v>148</v>
      </c>
      <c r="N294" t="s">
        <v>350</v>
      </c>
      <c r="Q294">
        <v>82862</v>
      </c>
      <c r="R294" t="s">
        <v>151</v>
      </c>
      <c r="S294" t="s">
        <v>147</v>
      </c>
      <c r="T294" t="s">
        <v>147</v>
      </c>
    </row>
    <row r="295">
      <c r="A295" t="str">
        <f>_xlfn.CONCAT(TBL_Sedes[[#This Row],[Ciudad]]," ",TBL_Sedes[[#This Row],[Nombre de la sede]])</f>
        <v xml:space="preserve">Puerto Carreño Centro De Producción Y Transformación Agroindustrial De La Orinoquía</v>
      </c>
      <c r="B295" t="s">
        <v>1271</v>
      </c>
      <c r="C295">
        <v>95311000</v>
      </c>
      <c r="D295" t="s">
        <v>693</v>
      </c>
      <c r="E295" t="s">
        <v>1272</v>
      </c>
      <c r="F295" t="s">
        <v>1273</v>
      </c>
      <c r="G295" t="s">
        <v>1274</v>
      </c>
      <c r="H295" t="s">
        <v>144</v>
      </c>
      <c r="I295" t="s">
        <v>156</v>
      </c>
      <c r="J295" t="s">
        <v>206</v>
      </c>
      <c r="K295" t="s">
        <v>200</v>
      </c>
      <c r="L295" t="s">
        <v>218</v>
      </c>
      <c r="M295" t="s">
        <v>148</v>
      </c>
      <c r="N295" t="s">
        <v>937</v>
      </c>
      <c r="O295" t="s">
        <v>938</v>
      </c>
      <c r="P295" t="s">
        <v>939</v>
      </c>
      <c r="Q295">
        <v>85477</v>
      </c>
      <c r="R295" t="s">
        <v>151</v>
      </c>
      <c r="S295" t="s">
        <v>147</v>
      </c>
      <c r="T295" t="s">
        <v>147</v>
      </c>
    </row>
    <row r="296">
      <c r="A296" t="str">
        <f>_xlfn.CONCAT(TBL_Sedes[[#This Row],[Ciudad]]," ",TBL_Sedes[[#This Row],[Nombre de la sede]])</f>
        <v xml:space="preserve">Puerto Carreño Regional Vichada</v>
      </c>
      <c r="B296">
        <v>179</v>
      </c>
      <c r="C296">
        <v>10109900</v>
      </c>
      <c r="D296" t="s">
        <v>693</v>
      </c>
      <c r="E296" t="s">
        <v>1272</v>
      </c>
      <c r="F296" t="s">
        <v>1275</v>
      </c>
      <c r="G296" t="s">
        <v>1274</v>
      </c>
      <c r="H296" t="s">
        <v>122</v>
      </c>
      <c r="I296" t="s">
        <v>156</v>
      </c>
      <c r="J296" t="s">
        <v>206</v>
      </c>
      <c r="K296" t="s">
        <v>200</v>
      </c>
      <c r="L296" t="s">
        <v>218</v>
      </c>
      <c r="M296" t="s">
        <v>148</v>
      </c>
      <c r="N296" t="s">
        <v>937</v>
      </c>
      <c r="O296" t="s">
        <v>938</v>
      </c>
      <c r="P296" t="s">
        <v>939</v>
      </c>
      <c r="Q296">
        <v>85477</v>
      </c>
      <c r="R296" t="s">
        <v>151</v>
      </c>
      <c r="S296" t="s">
        <v>147</v>
      </c>
      <c r="T296" t="s">
        <v>147</v>
      </c>
    </row>
    <row r="297">
      <c r="A297" t="str">
        <f>_xlfn.CONCAT(TBL_Sedes[[#This Row],[Ciudad]]," ",TBL_Sedes[[#This Row],[Nombre de la sede]])</f>
        <v xml:space="preserve">Puerto Carreño Subsede</v>
      </c>
      <c r="B297">
        <v>337</v>
      </c>
      <c r="C297">
        <v>95311051</v>
      </c>
      <c r="D297" t="s">
        <v>693</v>
      </c>
      <c r="E297" t="s">
        <v>1272</v>
      </c>
      <c r="F297" t="s">
        <v>465</v>
      </c>
      <c r="G297" t="s">
        <v>1276</v>
      </c>
      <c r="H297" t="s">
        <v>217</v>
      </c>
      <c r="I297" t="s">
        <v>174</v>
      </c>
      <c r="J297" t="s">
        <v>206</v>
      </c>
      <c r="K297" t="s">
        <v>200</v>
      </c>
      <c r="L297" t="s">
        <v>218</v>
      </c>
      <c r="M297" t="s">
        <v>148</v>
      </c>
      <c r="N297" t="s">
        <v>697</v>
      </c>
      <c r="O297" t="s">
        <v>698</v>
      </c>
      <c r="P297">
        <v>3108712803</v>
      </c>
    </row>
    <row r="298">
      <c r="A298" t="str">
        <f>_xlfn.CONCAT(TBL_Sedes[[#This Row],[Ciudad]]," ",TBL_Sedes[[#This Row],[Nombre de la sede]])</f>
        <v xml:space="preserve">Puerto Gaitan Sede Puerto Gaitan</v>
      </c>
      <c r="B298">
        <v>226</v>
      </c>
      <c r="C298">
        <v>91171002</v>
      </c>
      <c r="D298" t="s">
        <v>831</v>
      </c>
      <c r="E298" t="s">
        <v>1277</v>
      </c>
      <c r="F298" t="s">
        <v>1278</v>
      </c>
      <c r="G298" t="s">
        <v>1279</v>
      </c>
      <c r="H298" t="s">
        <v>173</v>
      </c>
      <c r="I298" t="s">
        <v>174</v>
      </c>
      <c r="J298" t="s">
        <v>513</v>
      </c>
      <c r="K298" t="s">
        <v>147</v>
      </c>
      <c r="L298" t="s">
        <v>147</v>
      </c>
      <c r="M298" t="s">
        <v>148</v>
      </c>
      <c r="N298" t="s">
        <v>1280</v>
      </c>
      <c r="O298" t="s">
        <v>1281</v>
      </c>
      <c r="P298">
        <v>3115463028</v>
      </c>
      <c r="Q298">
        <v>84070</v>
      </c>
      <c r="R298" t="s">
        <v>151</v>
      </c>
      <c r="S298" t="s">
        <v>147</v>
      </c>
      <c r="T298" t="s">
        <v>147</v>
      </c>
    </row>
    <row r="299">
      <c r="A299" t="str">
        <f>_xlfn.CONCAT(TBL_Sedes[[#This Row],[Ciudad]]," ",TBL_Sedes[[#This Row],[Nombre de la sede]])</f>
        <v xml:space="preserve">Puerto Leguizamo Puerto Leguizamo</v>
      </c>
      <c r="B299">
        <v>222</v>
      </c>
      <c r="C299">
        <v>95181003</v>
      </c>
      <c r="D299" t="s">
        <v>1100</v>
      </c>
      <c r="E299" t="s">
        <v>1282</v>
      </c>
      <c r="F299" t="s">
        <v>1282</v>
      </c>
      <c r="G299" t="s">
        <v>1283</v>
      </c>
      <c r="H299" t="s">
        <v>173</v>
      </c>
      <c r="I299" t="s">
        <v>174</v>
      </c>
      <c r="J299" t="s">
        <v>193</v>
      </c>
      <c r="K299" t="s">
        <v>147</v>
      </c>
      <c r="L299" t="s">
        <v>147</v>
      </c>
      <c r="M299" t="s">
        <v>148</v>
      </c>
      <c r="N299" t="s">
        <v>1105</v>
      </c>
      <c r="O299" t="s">
        <v>1106</v>
      </c>
      <c r="P299">
        <v>3144588946</v>
      </c>
      <c r="Q299">
        <v>84884</v>
      </c>
      <c r="R299" t="s">
        <v>151</v>
      </c>
      <c r="S299" t="s">
        <v>147</v>
      </c>
      <c r="T299" t="s">
        <v>147</v>
      </c>
    </row>
    <row r="300">
      <c r="A300" t="str">
        <f>_xlfn.CONCAT(TBL_Sedes[[#This Row],[Ciudad]]," ",TBL_Sedes[[#This Row],[Nombre de la sede]])</f>
        <v xml:space="preserve">Puerto Salgar Sede - Puerto Salgar</v>
      </c>
      <c r="B300">
        <v>81</v>
      </c>
      <c r="C300">
        <v>95091002</v>
      </c>
      <c r="D300" t="s">
        <v>370</v>
      </c>
      <c r="E300" t="s">
        <v>1284</v>
      </c>
      <c r="F300" t="s">
        <v>1285</v>
      </c>
      <c r="G300" t="s">
        <v>1286</v>
      </c>
      <c r="H300" t="s">
        <v>173</v>
      </c>
      <c r="I300" t="s">
        <v>174</v>
      </c>
      <c r="J300" t="s">
        <v>146</v>
      </c>
      <c r="K300" t="s">
        <v>147</v>
      </c>
      <c r="L300" t="s">
        <v>147</v>
      </c>
      <c r="M300" t="s">
        <v>148</v>
      </c>
      <c r="N300" t="s">
        <v>1158</v>
      </c>
      <c r="O300" t="s">
        <v>1159</v>
      </c>
      <c r="P300" t="s">
        <v>1160</v>
      </c>
      <c r="R300" t="s">
        <v>151</v>
      </c>
    </row>
    <row r="301">
      <c r="A301" t="str">
        <f>_xlfn.CONCAT(TBL_Sedes[[#This Row],[Ciudad]]," ",TBL_Sedes[[#This Row],[Nombre de la sede]])</f>
        <v xml:space="preserve">Quibdó Centro De Formación Centro Minero</v>
      </c>
      <c r="B301">
        <v>235</v>
      </c>
      <c r="C301">
        <v>95221002</v>
      </c>
      <c r="D301" t="s">
        <v>881</v>
      </c>
      <c r="E301" t="s">
        <v>1287</v>
      </c>
      <c r="F301" t="s">
        <v>1288</v>
      </c>
      <c r="G301" t="s">
        <v>1289</v>
      </c>
      <c r="H301" t="s">
        <v>173</v>
      </c>
      <c r="I301" t="s">
        <v>145</v>
      </c>
      <c r="J301" t="s">
        <v>165</v>
      </c>
      <c r="K301" t="s">
        <v>392</v>
      </c>
      <c r="L301" t="s">
        <v>147</v>
      </c>
      <c r="M301" t="s">
        <v>148</v>
      </c>
      <c r="N301" t="s">
        <v>1290</v>
      </c>
      <c r="O301" t="s">
        <v>885</v>
      </c>
      <c r="P301" t="s">
        <v>1291</v>
      </c>
      <c r="Q301">
        <v>44402</v>
      </c>
      <c r="R301" t="s">
        <v>151</v>
      </c>
      <c r="S301" t="s">
        <v>147</v>
      </c>
      <c r="T301" t="s">
        <v>147</v>
      </c>
    </row>
    <row r="302">
      <c r="A302" t="str">
        <f>_xlfn.CONCAT(TBL_Sedes[[#This Row],[Ciudad]]," ",TBL_Sedes[[#This Row],[Nombre de la sede]])</f>
        <v xml:space="preserve">Quibdó Centro De Recursos Naturales, Industria Y Biodiversidad</v>
      </c>
      <c r="B302" t="s">
        <v>1292</v>
      </c>
      <c r="C302">
        <v>95221000</v>
      </c>
      <c r="D302" t="s">
        <v>881</v>
      </c>
      <c r="E302" t="s">
        <v>1287</v>
      </c>
      <c r="F302" t="s">
        <v>1293</v>
      </c>
      <c r="G302" t="s">
        <v>1289</v>
      </c>
      <c r="H302" t="s">
        <v>144</v>
      </c>
      <c r="I302" t="s">
        <v>156</v>
      </c>
      <c r="J302" t="s">
        <v>165</v>
      </c>
      <c r="K302" t="s">
        <v>808</v>
      </c>
      <c r="L302" t="s">
        <v>147</v>
      </c>
      <c r="M302" t="s">
        <v>148</v>
      </c>
      <c r="N302" t="s">
        <v>1290</v>
      </c>
      <c r="O302" t="s">
        <v>885</v>
      </c>
      <c r="P302" t="s">
        <v>1291</v>
      </c>
      <c r="Q302">
        <v>44402</v>
      </c>
      <c r="R302" t="s">
        <v>151</v>
      </c>
      <c r="S302" t="s">
        <v>147</v>
      </c>
      <c r="T302" t="s">
        <v>147</v>
      </c>
    </row>
    <row r="303">
      <c r="A303" t="str">
        <f>_xlfn.CONCAT(TBL_Sedes[[#This Row],[Ciudad]]," ",TBL_Sedes[[#This Row],[Nombre de la sede]])</f>
        <v xml:space="preserve">Quibdó Regional Chocó</v>
      </c>
      <c r="B303">
        <v>96</v>
      </c>
      <c r="C303">
        <v>10102700</v>
      </c>
      <c r="D303" t="s">
        <v>881</v>
      </c>
      <c r="E303" t="s">
        <v>1287</v>
      </c>
      <c r="F303" t="s">
        <v>1294</v>
      </c>
      <c r="G303" t="s">
        <v>1289</v>
      </c>
      <c r="H303" t="s">
        <v>122</v>
      </c>
      <c r="I303" t="s">
        <v>156</v>
      </c>
      <c r="J303" t="s">
        <v>705</v>
      </c>
      <c r="K303" t="s">
        <v>218</v>
      </c>
      <c r="L303" t="s">
        <v>147</v>
      </c>
      <c r="M303" t="s">
        <v>148</v>
      </c>
      <c r="N303" t="s">
        <v>1290</v>
      </c>
      <c r="O303" t="s">
        <v>885</v>
      </c>
      <c r="P303">
        <v>3206322392</v>
      </c>
      <c r="Q303">
        <v>44402</v>
      </c>
      <c r="R303" t="s">
        <v>151</v>
      </c>
      <c r="S303" t="s">
        <v>147</v>
      </c>
      <c r="T303" t="s">
        <v>147</v>
      </c>
    </row>
    <row r="304">
      <c r="A304" t="str">
        <f>_xlfn.CONCAT(TBL_Sedes[[#This Row],[Ciudad]]," ",TBL_Sedes[[#This Row],[Nombre de la sede]])</f>
        <v xml:space="preserve">Riohacha Centro Agroempresarial Y Acuícola (Área Administrativa)</v>
      </c>
      <c r="B304" t="s">
        <v>1295</v>
      </c>
      <c r="C304">
        <v>95241000</v>
      </c>
      <c r="D304" t="s">
        <v>770</v>
      </c>
      <c r="E304" t="s">
        <v>1296</v>
      </c>
      <c r="F304" t="s">
        <v>1297</v>
      </c>
      <c r="G304" t="s">
        <v>1298</v>
      </c>
      <c r="H304" t="s">
        <v>144</v>
      </c>
      <c r="I304" t="s">
        <v>156</v>
      </c>
      <c r="J304" t="s">
        <v>146</v>
      </c>
      <c r="K304" t="s">
        <v>147</v>
      </c>
      <c r="L304" t="s">
        <v>147</v>
      </c>
      <c r="M304" t="s">
        <v>148</v>
      </c>
      <c r="N304" t="s">
        <v>971</v>
      </c>
      <c r="O304" t="s">
        <v>972</v>
      </c>
      <c r="P304">
        <v>3007910157</v>
      </c>
      <c r="Q304">
        <v>53559</v>
      </c>
    </row>
    <row r="305">
      <c r="A305" t="str">
        <f>_xlfn.CONCAT(TBL_Sedes[[#This Row],[Ciudad]]," ",TBL_Sedes[[#This Row],[Nombre de la sede]])</f>
        <v xml:space="preserve">Riohacha Centro Industrial Y De Energías Alternativas (Área Administrativa)</v>
      </c>
      <c r="B305" t="s">
        <v>1299</v>
      </c>
      <c r="C305">
        <v>92221000</v>
      </c>
      <c r="D305" t="s">
        <v>770</v>
      </c>
      <c r="E305" t="s">
        <v>1296</v>
      </c>
      <c r="F305" t="s">
        <v>1300</v>
      </c>
      <c r="G305" t="s">
        <v>1298</v>
      </c>
      <c r="H305" t="s">
        <v>144</v>
      </c>
      <c r="I305" t="s">
        <v>156</v>
      </c>
      <c r="J305" t="s">
        <v>146</v>
      </c>
      <c r="K305" t="s">
        <v>147</v>
      </c>
      <c r="L305" t="s">
        <v>147</v>
      </c>
      <c r="M305" t="s">
        <v>148</v>
      </c>
      <c r="N305" t="s">
        <v>971</v>
      </c>
      <c r="O305" t="s">
        <v>972</v>
      </c>
      <c r="P305">
        <v>3007910157</v>
      </c>
      <c r="Q305">
        <v>53559</v>
      </c>
    </row>
    <row r="306">
      <c r="A306" t="str">
        <f>_xlfn.CONCAT(TBL_Sedes[[#This Row],[Ciudad]]," ",TBL_Sedes[[#This Row],[Nombre de la sede]])</f>
        <v xml:space="preserve">Riohacha Regional Guajira</v>
      </c>
      <c r="B306">
        <v>106</v>
      </c>
      <c r="C306">
        <v>10104400</v>
      </c>
      <c r="D306" t="s">
        <v>770</v>
      </c>
      <c r="E306" t="s">
        <v>1296</v>
      </c>
      <c r="F306" t="s">
        <v>1301</v>
      </c>
      <c r="G306" t="s">
        <v>1298</v>
      </c>
      <c r="H306" t="s">
        <v>122</v>
      </c>
      <c r="I306" t="s">
        <v>156</v>
      </c>
      <c r="J306" t="s">
        <v>146</v>
      </c>
      <c r="K306" t="s">
        <v>147</v>
      </c>
      <c r="L306" t="s">
        <v>147</v>
      </c>
      <c r="M306" t="s">
        <v>148</v>
      </c>
      <c r="N306" t="s">
        <v>971</v>
      </c>
      <c r="O306" t="s">
        <v>972</v>
      </c>
      <c r="P306">
        <v>3007910157</v>
      </c>
      <c r="Q306">
        <v>53559</v>
      </c>
    </row>
    <row r="307">
      <c r="A307" t="str">
        <f>_xlfn.CONCAT(TBL_Sedes[[#This Row],[Ciudad]]," ",TBL_Sedes[[#This Row],[Nombre de la sede]])</f>
        <v xml:space="preserve">Riohacha Sede Industrial</v>
      </c>
      <c r="B307">
        <v>107</v>
      </c>
      <c r="C307">
        <v>92221001</v>
      </c>
      <c r="D307" t="s">
        <v>770</v>
      </c>
      <c r="E307" t="s">
        <v>1296</v>
      </c>
      <c r="F307" t="s">
        <v>1141</v>
      </c>
      <c r="G307" t="s">
        <v>1302</v>
      </c>
      <c r="H307" t="s">
        <v>173</v>
      </c>
      <c r="I307" t="s">
        <v>174</v>
      </c>
      <c r="J307" t="s">
        <v>193</v>
      </c>
      <c r="K307" t="s">
        <v>147</v>
      </c>
      <c r="L307" t="s">
        <v>147</v>
      </c>
      <c r="M307" t="s">
        <v>148</v>
      </c>
      <c r="N307" t="s">
        <v>971</v>
      </c>
      <c r="O307" t="s">
        <v>972</v>
      </c>
      <c r="P307">
        <v>3007910157</v>
      </c>
      <c r="Q307">
        <v>53559</v>
      </c>
      <c r="R307" t="s">
        <v>151</v>
      </c>
      <c r="S307" t="s">
        <v>147</v>
      </c>
      <c r="T307" t="s">
        <v>147</v>
      </c>
    </row>
    <row r="308">
      <c r="A308" t="str">
        <f>_xlfn.CONCAT(TBL_Sedes[[#This Row],[Ciudad]]," ",TBL_Sedes[[#This Row],[Nombre de la sede]])</f>
        <v xml:space="preserve">Rionegro Centro De La Innovación, La Agroindustria Y La Aviación</v>
      </c>
      <c r="B308">
        <v>14</v>
      </c>
      <c r="C308">
        <v>95031000</v>
      </c>
      <c r="D308" t="s">
        <v>152</v>
      </c>
      <c r="E308" t="s">
        <v>1303</v>
      </c>
      <c r="F308" t="s">
        <v>1304</v>
      </c>
      <c r="G308" t="s">
        <v>1305</v>
      </c>
      <c r="H308" t="s">
        <v>144</v>
      </c>
      <c r="I308" t="s">
        <v>174</v>
      </c>
      <c r="J308" t="s">
        <v>653</v>
      </c>
      <c r="K308" t="s">
        <v>147</v>
      </c>
      <c r="L308" t="s">
        <v>147</v>
      </c>
      <c r="M308" t="s">
        <v>148</v>
      </c>
      <c r="N308" t="s">
        <v>654</v>
      </c>
      <c r="O308" t="s">
        <v>655</v>
      </c>
      <c r="P308" t="s">
        <v>656</v>
      </c>
      <c r="Q308">
        <v>44130</v>
      </c>
      <c r="R308" t="s">
        <v>151</v>
      </c>
      <c r="S308" t="s">
        <v>147</v>
      </c>
      <c r="T308" t="s">
        <v>147</v>
      </c>
    </row>
    <row r="309">
      <c r="A309" t="str">
        <f>_xlfn.CONCAT(TBL_Sedes[[#This Row],[Ciudad]]," ",TBL_Sedes[[#This Row],[Nombre de la sede]])</f>
        <v xml:space="preserve">Rionegro CORPORACION UNIVERSITARIA REMINGTON -
UNIREMINGTON</v>
      </c>
      <c r="B309">
        <v>367</v>
      </c>
      <c r="C309">
        <v>95031010</v>
      </c>
      <c r="D309" t="s">
        <v>152</v>
      </c>
      <c r="E309" t="s">
        <v>1303</v>
      </c>
      <c r="F309" t="s">
        <v>1306</v>
      </c>
      <c r="G309" t="s">
        <v>1307</v>
      </c>
      <c r="H309" t="s">
        <v>366</v>
      </c>
      <c r="I309" t="s">
        <v>174</v>
      </c>
      <c r="J309" t="s">
        <v>1308</v>
      </c>
      <c r="K309" t="s">
        <v>147</v>
      </c>
      <c r="L309" t="s">
        <v>147</v>
      </c>
      <c r="M309" t="s">
        <v>148</v>
      </c>
      <c r="N309" t="s">
        <v>1309</v>
      </c>
      <c r="O309" t="s">
        <v>655</v>
      </c>
      <c r="P309">
        <v>3015752454</v>
      </c>
      <c r="Q309">
        <v>44115</v>
      </c>
      <c r="R309" t="s">
        <v>168</v>
      </c>
      <c r="S309" t="s">
        <v>368</v>
      </c>
      <c r="T309" t="s">
        <v>804</v>
      </c>
    </row>
    <row r="310">
      <c r="A310" t="str">
        <f>_xlfn.CONCAT(TBL_Sedes[[#This Row],[Ciudad]]," ",TBL_Sedes[[#This Row],[Nombre de la sede]])</f>
        <v xml:space="preserve">Rionegro Sede Aviación</v>
      </c>
      <c r="B310">
        <v>219</v>
      </c>
      <c r="C310">
        <v>95031005</v>
      </c>
      <c r="D310" t="s">
        <v>152</v>
      </c>
      <c r="E310" t="s">
        <v>1303</v>
      </c>
      <c r="F310" t="s">
        <v>1310</v>
      </c>
      <c r="G310" t="s">
        <v>1311</v>
      </c>
      <c r="H310" t="s">
        <v>173</v>
      </c>
      <c r="I310" t="s">
        <v>174</v>
      </c>
      <c r="J310" t="s">
        <v>1312</v>
      </c>
      <c r="K310" t="s">
        <v>147</v>
      </c>
      <c r="L310" t="s">
        <v>147</v>
      </c>
      <c r="M310" t="s">
        <v>148</v>
      </c>
      <c r="N310" t="s">
        <v>654</v>
      </c>
      <c r="O310" t="s">
        <v>655</v>
      </c>
      <c r="P310" t="s">
        <v>656</v>
      </c>
      <c r="Q310">
        <v>44130</v>
      </c>
      <c r="R310" t="s">
        <v>151</v>
      </c>
      <c r="S310" t="s">
        <v>147</v>
      </c>
      <c r="T310" t="s">
        <v>147</v>
      </c>
    </row>
    <row r="311">
      <c r="A311" t="str">
        <f>_xlfn.CONCAT(TBL_Sedes[[#This Row],[Ciudad]]," ",TBL_Sedes[[#This Row],[Nombre de la sede]])</f>
        <v xml:space="preserve">Rionegro Sede Zona Franca</v>
      </c>
      <c r="B311">
        <v>17</v>
      </c>
      <c r="C311">
        <v>95031003</v>
      </c>
      <c r="D311" t="s">
        <v>152</v>
      </c>
      <c r="E311" t="s">
        <v>1303</v>
      </c>
      <c r="F311" t="s">
        <v>1313</v>
      </c>
      <c r="G311" t="s">
        <v>1314</v>
      </c>
      <c r="H311" t="s">
        <v>173</v>
      </c>
      <c r="I311" t="s">
        <v>145</v>
      </c>
      <c r="J311" t="s">
        <v>653</v>
      </c>
      <c r="K311" t="s">
        <v>147</v>
      </c>
      <c r="L311" t="s">
        <v>147</v>
      </c>
      <c r="M311" t="s">
        <v>148</v>
      </c>
      <c r="N311" t="s">
        <v>654</v>
      </c>
      <c r="O311" t="s">
        <v>655</v>
      </c>
      <c r="P311" t="s">
        <v>656</v>
      </c>
      <c r="Q311">
        <v>44130</v>
      </c>
      <c r="R311" t="s">
        <v>151</v>
      </c>
      <c r="S311" t="s">
        <v>147</v>
      </c>
      <c r="T311" t="s">
        <v>147</v>
      </c>
    </row>
    <row r="312">
      <c r="A312" t="str">
        <f>_xlfn.CONCAT(TBL_Sedes[[#This Row],[Ciudad]]," ",TBL_Sedes[[#This Row],[Nombre de la sede]])</f>
        <v xml:space="preserve">Rionegro Tecnoparque Nodo Rionegro (Escuela Gastronómica)</v>
      </c>
      <c r="B312">
        <v>16</v>
      </c>
      <c r="C312">
        <v>95031002</v>
      </c>
      <c r="D312" t="s">
        <v>152</v>
      </c>
      <c r="E312" t="s">
        <v>1303</v>
      </c>
      <c r="F312" t="s">
        <v>1315</v>
      </c>
      <c r="G312" t="s">
        <v>1316</v>
      </c>
      <c r="H312" t="s">
        <v>173</v>
      </c>
      <c r="I312" t="s">
        <v>174</v>
      </c>
      <c r="J312" t="s">
        <v>653</v>
      </c>
      <c r="K312" t="s">
        <v>147</v>
      </c>
      <c r="L312" t="s">
        <v>147</v>
      </c>
      <c r="M312" t="s">
        <v>148</v>
      </c>
      <c r="N312" t="s">
        <v>654</v>
      </c>
      <c r="O312" t="s">
        <v>655</v>
      </c>
      <c r="P312" t="s">
        <v>656</v>
      </c>
      <c r="Q312">
        <v>44130</v>
      </c>
      <c r="R312" t="s">
        <v>151</v>
      </c>
      <c r="S312" t="s">
        <v>147</v>
      </c>
      <c r="T312" t="s">
        <v>147</v>
      </c>
    </row>
    <row r="313">
      <c r="A313" t="str">
        <f>_xlfn.CONCAT(TBL_Sedes[[#This Row],[Ciudad]]," ",TBL_Sedes[[#This Row],[Nombre de la sede]])</f>
        <v xml:space="preserve">Sabana de Torres Sabana de Torres</v>
      </c>
      <c r="B313">
        <v>365</v>
      </c>
      <c r="C313">
        <v>95401002</v>
      </c>
      <c r="D313" t="s">
        <v>1317</v>
      </c>
      <c r="E313" t="s">
        <v>1318</v>
      </c>
      <c r="F313" t="s">
        <v>1318</v>
      </c>
      <c r="G313" t="s">
        <v>1319</v>
      </c>
      <c r="H313" t="s">
        <v>366</v>
      </c>
      <c r="I313" t="s">
        <v>174</v>
      </c>
      <c r="J313" t="s">
        <v>1320</v>
      </c>
      <c r="K313" t="s">
        <v>147</v>
      </c>
      <c r="L313" t="s">
        <v>147</v>
      </c>
      <c r="M313" t="s">
        <v>148</v>
      </c>
      <c r="N313" t="s">
        <v>235</v>
      </c>
      <c r="O313" t="s">
        <v>236</v>
      </c>
      <c r="P313">
        <v>3205763757</v>
      </c>
      <c r="Q313">
        <v>73667</v>
      </c>
      <c r="R313" t="s">
        <v>168</v>
      </c>
      <c r="S313" t="s">
        <v>1321</v>
      </c>
      <c r="T313" t="s">
        <v>1322</v>
      </c>
    </row>
    <row r="314">
      <c r="A314" t="str">
        <f>_xlfn.CONCAT(TBL_Sedes[[#This Row],[Ciudad]]," ",TBL_Sedes[[#This Row],[Nombre de la sede]])</f>
        <v xml:space="preserve">Sabanalarga Centro Para El Desarrollo Agroecológico Y Agroindustrial</v>
      </c>
      <c r="B314">
        <v>20</v>
      </c>
      <c r="C314">
        <v>91031000</v>
      </c>
      <c r="D314" t="s">
        <v>220</v>
      </c>
      <c r="E314" t="s">
        <v>1323</v>
      </c>
      <c r="F314" t="s">
        <v>1324</v>
      </c>
      <c r="G314" t="s">
        <v>1325</v>
      </c>
      <c r="H314" t="s">
        <v>144</v>
      </c>
      <c r="I314" t="s">
        <v>145</v>
      </c>
      <c r="J314" t="s">
        <v>1009</v>
      </c>
      <c r="K314" t="s">
        <v>147</v>
      </c>
      <c r="L314" t="s">
        <v>147</v>
      </c>
      <c r="M314" t="s">
        <v>148</v>
      </c>
      <c r="N314" t="s">
        <v>244</v>
      </c>
      <c r="O314" t="s">
        <v>245</v>
      </c>
      <c r="P314">
        <v>3024012301</v>
      </c>
      <c r="Q314">
        <v>52734</v>
      </c>
      <c r="R314" t="s">
        <v>151</v>
      </c>
      <c r="S314" t="s">
        <v>147</v>
      </c>
      <c r="T314" t="s">
        <v>147</v>
      </c>
    </row>
    <row r="315">
      <c r="A315" t="str">
        <f>_xlfn.CONCAT(TBL_Sedes[[#This Row],[Ciudad]]," ",TBL_Sedes[[#This Row],[Nombre de la sede]])</f>
        <v xml:space="preserve">Sabanalarga Finca El Caney</v>
      </c>
      <c r="B315">
        <v>198</v>
      </c>
      <c r="C315">
        <v>91031001</v>
      </c>
      <c r="D315" t="s">
        <v>220</v>
      </c>
      <c r="E315" t="s">
        <v>1323</v>
      </c>
      <c r="F315" t="s">
        <v>1326</v>
      </c>
      <c r="G315" t="s">
        <v>1327</v>
      </c>
      <c r="H315" t="s">
        <v>173</v>
      </c>
      <c r="I315" t="s">
        <v>174</v>
      </c>
      <c r="J315" t="s">
        <v>259</v>
      </c>
      <c r="K315" t="s">
        <v>147</v>
      </c>
      <c r="L315" t="s">
        <v>147</v>
      </c>
      <c r="M315" t="s">
        <v>148</v>
      </c>
      <c r="N315" t="s">
        <v>244</v>
      </c>
      <c r="O315" t="s">
        <v>245</v>
      </c>
      <c r="P315">
        <v>3024012301</v>
      </c>
      <c r="Q315">
        <v>52734</v>
      </c>
      <c r="R315" t="s">
        <v>151</v>
      </c>
      <c r="S315" t="s">
        <v>147</v>
      </c>
      <c r="T315" t="s">
        <v>147</v>
      </c>
    </row>
    <row r="316">
      <c r="A316" t="str">
        <f>_xlfn.CONCAT(TBL_Sedes[[#This Row],[Ciudad]]," ",TBL_Sedes[[#This Row],[Nombre de la sede]])</f>
        <v xml:space="preserve">Sabanalarga Nodo Agroempresarial </v>
      </c>
      <c r="B316">
        <v>356</v>
      </c>
      <c r="C316">
        <v>91031004</v>
      </c>
      <c r="D316" t="s">
        <v>220</v>
      </c>
      <c r="E316" t="s">
        <v>1323</v>
      </c>
      <c r="F316" t="s">
        <v>1328</v>
      </c>
      <c r="G316" t="s">
        <v>1329</v>
      </c>
      <c r="H316" t="s">
        <v>224</v>
      </c>
      <c r="I316" t="s">
        <v>174</v>
      </c>
      <c r="J316" t="s">
        <v>179</v>
      </c>
      <c r="K316" t="s">
        <v>147</v>
      </c>
      <c r="L316" t="s">
        <v>147</v>
      </c>
      <c r="M316" t="s">
        <v>227</v>
      </c>
      <c r="N316" t="s">
        <v>1330</v>
      </c>
      <c r="O316" t="s">
        <v>229</v>
      </c>
      <c r="P316">
        <v>3116568942</v>
      </c>
      <c r="Q316">
        <v>52002</v>
      </c>
      <c r="R316" t="s">
        <v>151</v>
      </c>
      <c r="S316" t="s">
        <v>147</v>
      </c>
      <c r="T316" t="s">
        <v>147</v>
      </c>
    </row>
    <row r="317">
      <c r="A317" t="str">
        <f>_xlfn.CONCAT(TBL_Sedes[[#This Row],[Ciudad]]," ",TBL_Sedes[[#This Row],[Nombre de la sede]])</f>
        <v xml:space="preserve">San Alberto Sede San Alberto</v>
      </c>
      <c r="B317">
        <v>283</v>
      </c>
      <c r="C317">
        <v>95201002</v>
      </c>
      <c r="D317" t="s">
        <v>140</v>
      </c>
      <c r="E317" t="s">
        <v>1331</v>
      </c>
      <c r="F317" t="s">
        <v>1332</v>
      </c>
      <c r="G317" t="s">
        <v>1333</v>
      </c>
      <c r="H317" t="s">
        <v>173</v>
      </c>
      <c r="I317" t="s">
        <v>174</v>
      </c>
      <c r="J317" t="s">
        <v>259</v>
      </c>
      <c r="K317" t="s">
        <v>147</v>
      </c>
      <c r="L317" t="s">
        <v>147</v>
      </c>
      <c r="M317" t="s">
        <v>148</v>
      </c>
      <c r="N317" t="s">
        <v>149</v>
      </c>
      <c r="O317" t="s">
        <v>150</v>
      </c>
      <c r="P317">
        <v>3158722597</v>
      </c>
      <c r="Q317">
        <v>53280</v>
      </c>
    </row>
    <row r="318">
      <c r="A318" t="str">
        <f>_xlfn.CONCAT(TBL_Sedes[[#This Row],[Ciudad]]," ",TBL_Sedes[[#This Row],[Nombre de la sede]])</f>
        <v xml:space="preserve">San Andrés Centro De Formación Turística, Gente De Mar Y De Servicios </v>
      </c>
      <c r="B318" t="s">
        <v>1334</v>
      </c>
      <c r="C318">
        <v>95391000</v>
      </c>
      <c r="D318" t="s">
        <v>1246</v>
      </c>
      <c r="E318" t="s">
        <v>1335</v>
      </c>
      <c r="F318" t="s">
        <v>1336</v>
      </c>
      <c r="G318" t="s">
        <v>1337</v>
      </c>
      <c r="H318" t="s">
        <v>144</v>
      </c>
      <c r="I318" t="s">
        <v>156</v>
      </c>
      <c r="J318" t="s">
        <v>1338</v>
      </c>
      <c r="K318" t="s">
        <v>147</v>
      </c>
      <c r="L318" t="s">
        <v>147</v>
      </c>
      <c r="M318" t="s">
        <v>194</v>
      </c>
      <c r="N318" t="s">
        <v>1250</v>
      </c>
      <c r="O318" t="s">
        <v>1251</v>
      </c>
      <c r="P318">
        <v>3204743272</v>
      </c>
      <c r="Q318">
        <v>85020</v>
      </c>
      <c r="R318" t="s">
        <v>380</v>
      </c>
      <c r="S318" t="s">
        <v>147</v>
      </c>
      <c r="T318" t="s">
        <v>147</v>
      </c>
    </row>
    <row r="319">
      <c r="A319" t="str">
        <f>_xlfn.CONCAT(TBL_Sedes[[#This Row],[Ciudad]]," ",TBL_Sedes[[#This Row],[Nombre de la sede]])</f>
        <v xml:space="preserve">San Andrés Regional San Andrés</v>
      </c>
      <c r="B319">
        <v>173</v>
      </c>
      <c r="C319">
        <v>10108800</v>
      </c>
      <c r="D319" t="s">
        <v>1246</v>
      </c>
      <c r="E319" t="s">
        <v>1335</v>
      </c>
      <c r="F319" t="s">
        <v>1339</v>
      </c>
      <c r="G319" t="s">
        <v>1337</v>
      </c>
      <c r="H319" t="s">
        <v>122</v>
      </c>
      <c r="I319" t="s">
        <v>156</v>
      </c>
      <c r="J319" t="s">
        <v>1338</v>
      </c>
      <c r="K319" t="s">
        <v>147</v>
      </c>
      <c r="L319" t="s">
        <v>147</v>
      </c>
      <c r="M319" t="s">
        <v>148</v>
      </c>
      <c r="N319" t="s">
        <v>1250</v>
      </c>
      <c r="O319" t="s">
        <v>1251</v>
      </c>
      <c r="P319">
        <v>3204743272</v>
      </c>
      <c r="Q319">
        <v>85020</v>
      </c>
      <c r="R319" t="s">
        <v>380</v>
      </c>
      <c r="S319" t="s">
        <v>147</v>
      </c>
      <c r="T319" t="s">
        <v>147</v>
      </c>
    </row>
    <row r="320">
      <c r="A320" t="str">
        <f>_xlfn.CONCAT(TBL_Sedes[[#This Row],[Ciudad]]," ",TBL_Sedes[[#This Row],[Nombre de la sede]])</f>
        <v xml:space="preserve">San Andrés Sede Bilingüismo</v>
      </c>
      <c r="B320">
        <v>192</v>
      </c>
      <c r="C320">
        <v>95391002</v>
      </c>
      <c r="D320" t="s">
        <v>1246</v>
      </c>
      <c r="E320" t="s">
        <v>1335</v>
      </c>
      <c r="F320" t="s">
        <v>1340</v>
      </c>
      <c r="G320" t="s">
        <v>1341</v>
      </c>
      <c r="H320" t="s">
        <v>173</v>
      </c>
      <c r="I320" t="s">
        <v>145</v>
      </c>
      <c r="J320" t="s">
        <v>193</v>
      </c>
      <c r="K320" t="s">
        <v>147</v>
      </c>
      <c r="L320" t="s">
        <v>147</v>
      </c>
      <c r="M320" t="s">
        <v>360</v>
      </c>
      <c r="N320" t="s">
        <v>1259</v>
      </c>
      <c r="O320" t="s">
        <v>1251</v>
      </c>
      <c r="P320">
        <v>3153616881</v>
      </c>
      <c r="Q320">
        <v>85020</v>
      </c>
      <c r="R320" t="s">
        <v>380</v>
      </c>
      <c r="S320" t="s">
        <v>147</v>
      </c>
      <c r="T320" t="s">
        <v>147</v>
      </c>
    </row>
    <row r="321">
      <c r="A321" t="str">
        <f>_xlfn.CONCAT(TBL_Sedes[[#This Row],[Ciudad]]," ",TBL_Sedes[[#This Row],[Nombre de la sede]])</f>
        <v xml:space="preserve">San Gil Centro Agroturístico</v>
      </c>
      <c r="B321">
        <v>144</v>
      </c>
      <c r="C321">
        <v>95411000</v>
      </c>
      <c r="D321" t="s">
        <v>230</v>
      </c>
      <c r="E321" t="s">
        <v>1342</v>
      </c>
      <c r="F321" t="s">
        <v>1343</v>
      </c>
      <c r="G321" t="s">
        <v>1344</v>
      </c>
      <c r="H321" t="s">
        <v>144</v>
      </c>
      <c r="I321" t="s">
        <v>145</v>
      </c>
      <c r="J321" t="s">
        <v>1345</v>
      </c>
      <c r="K321" t="s">
        <v>252</v>
      </c>
      <c r="L321" t="s">
        <v>147</v>
      </c>
      <c r="M321" t="s">
        <v>148</v>
      </c>
      <c r="N321" t="s">
        <v>1346</v>
      </c>
      <c r="O321">
        <v>0</v>
      </c>
      <c r="P321">
        <v>3208243027</v>
      </c>
      <c r="Q321">
        <v>73875</v>
      </c>
      <c r="R321" t="s">
        <v>151</v>
      </c>
      <c r="S321" t="s">
        <v>147</v>
      </c>
      <c r="T321" t="s">
        <v>147</v>
      </c>
    </row>
    <row r="322">
      <c r="A322" t="str">
        <f>_xlfn.CONCAT(TBL_Sedes[[#This Row],[Ciudad]]," ",TBL_Sedes[[#This Row],[Nombre de la sede]])</f>
        <v xml:space="preserve">San Gil Centro Comercial San Gil Plaza</v>
      </c>
      <c r="B322">
        <v>211</v>
      </c>
      <c r="C322">
        <v>95411050</v>
      </c>
      <c r="D322" t="s">
        <v>230</v>
      </c>
      <c r="E322" t="s">
        <v>1342</v>
      </c>
      <c r="F322" t="s">
        <v>1347</v>
      </c>
      <c r="G322" t="s">
        <v>1348</v>
      </c>
      <c r="H322" t="s">
        <v>217</v>
      </c>
      <c r="I322" t="s">
        <v>174</v>
      </c>
      <c r="J322" t="s">
        <v>1345</v>
      </c>
      <c r="K322" t="s">
        <v>1349</v>
      </c>
      <c r="L322" t="s">
        <v>147</v>
      </c>
      <c r="M322" t="s">
        <v>148</v>
      </c>
      <c r="N322" t="s">
        <v>1346</v>
      </c>
      <c r="O322">
        <v>0</v>
      </c>
      <c r="P322">
        <v>3208243027</v>
      </c>
      <c r="Q322">
        <v>73875</v>
      </c>
      <c r="S322" t="s">
        <v>1350</v>
      </c>
      <c r="T322" t="s">
        <v>1351</v>
      </c>
    </row>
    <row r="323">
      <c r="A323" t="str">
        <f>_xlfn.CONCAT(TBL_Sedes[[#This Row],[Ciudad]]," ",TBL_Sedes[[#This Row],[Nombre de la sede]])</f>
        <v xml:space="preserve">San Jacinto Sede San Jacinto</v>
      </c>
      <c r="B323">
        <v>45</v>
      </c>
      <c r="C323">
        <v>91041001</v>
      </c>
      <c r="D323" t="s">
        <v>580</v>
      </c>
      <c r="E323" t="s">
        <v>1352</v>
      </c>
      <c r="F323" t="s">
        <v>1353</v>
      </c>
      <c r="G323" t="s">
        <v>1354</v>
      </c>
      <c r="H323" t="s">
        <v>173</v>
      </c>
      <c r="I323" t="s">
        <v>174</v>
      </c>
      <c r="J323" t="s">
        <v>513</v>
      </c>
      <c r="K323" t="s">
        <v>584</v>
      </c>
      <c r="L323" t="s">
        <v>147</v>
      </c>
      <c r="M323" t="s">
        <v>194</v>
      </c>
      <c r="N323" t="s">
        <v>585</v>
      </c>
      <c r="O323" t="s">
        <v>586</v>
      </c>
      <c r="P323" t="s">
        <v>587</v>
      </c>
      <c r="Q323">
        <v>52486</v>
      </c>
      <c r="R323" t="s">
        <v>151</v>
      </c>
      <c r="S323" t="s">
        <v>147</v>
      </c>
      <c r="T323" t="s">
        <v>147</v>
      </c>
    </row>
    <row r="324">
      <c r="A324" t="str">
        <f>_xlfn.CONCAT(TBL_Sedes[[#This Row],[Ciudad]]," ",TBL_Sedes[[#This Row],[Nombre de la sede]])</f>
        <v xml:space="preserve">San José Del Guaviare Centro De Desarrollo Agroindustrial, Turístico Y Tecnológico Del Guaviare</v>
      </c>
      <c r="B324" t="s">
        <v>1355</v>
      </c>
      <c r="C324">
        <v>95331000</v>
      </c>
      <c r="D324" t="s">
        <v>1356</v>
      </c>
      <c r="E324" t="s">
        <v>1357</v>
      </c>
      <c r="F324" t="s">
        <v>1358</v>
      </c>
      <c r="G324" t="s">
        <v>947</v>
      </c>
      <c r="H324" t="s">
        <v>144</v>
      </c>
      <c r="I324" t="s">
        <v>156</v>
      </c>
      <c r="J324" t="s">
        <v>617</v>
      </c>
      <c r="K324" t="s">
        <v>218</v>
      </c>
      <c r="L324" t="s">
        <v>147</v>
      </c>
      <c r="M324" t="s">
        <v>148</v>
      </c>
      <c r="N324" t="s">
        <v>1359</v>
      </c>
      <c r="O324" t="s">
        <v>1360</v>
      </c>
      <c r="P324">
        <v>3112373199</v>
      </c>
      <c r="Q324">
        <v>85324</v>
      </c>
    </row>
    <row r="325">
      <c r="A325" t="str">
        <f>_xlfn.CONCAT(TBL_Sedes[[#This Row],[Ciudad]]," ",TBL_Sedes[[#This Row],[Nombre de la sede]])</f>
        <v xml:space="preserve">San José Del Guaviare Centro De Desarrollo Agroindustrial, Turístico Y Tecnológico Del Guaviare Sede Centro</v>
      </c>
      <c r="B325">
        <v>177</v>
      </c>
      <c r="C325">
        <v>95331001</v>
      </c>
      <c r="D325" t="s">
        <v>1356</v>
      </c>
      <c r="E325" t="s">
        <v>1357</v>
      </c>
      <c r="F325" t="s">
        <v>1361</v>
      </c>
      <c r="G325" t="s">
        <v>1362</v>
      </c>
      <c r="H325" t="s">
        <v>173</v>
      </c>
      <c r="I325" t="s">
        <v>145</v>
      </c>
      <c r="J325" t="s">
        <v>392</v>
      </c>
      <c r="K325" t="s">
        <v>218</v>
      </c>
      <c r="L325" t="s">
        <v>147</v>
      </c>
      <c r="M325" t="s">
        <v>148</v>
      </c>
      <c r="N325" t="s">
        <v>1359</v>
      </c>
      <c r="O325" t="s">
        <v>1360</v>
      </c>
      <c r="P325">
        <v>3112373199</v>
      </c>
      <c r="Q325">
        <v>85324</v>
      </c>
      <c r="R325" t="s">
        <v>151</v>
      </c>
      <c r="S325" t="s">
        <v>147</v>
      </c>
      <c r="T325" t="s">
        <v>147</v>
      </c>
    </row>
    <row r="326">
      <c r="A326" t="str">
        <f>_xlfn.CONCAT(TBL_Sedes[[#This Row],[Ciudad]]," ",TBL_Sedes[[#This Row],[Nombre de la sede]])</f>
        <v xml:space="preserve">San José Del Guaviare Regional Guaviare</v>
      </c>
      <c r="B326">
        <v>275</v>
      </c>
      <c r="C326">
        <v>10109500</v>
      </c>
      <c r="D326" t="s">
        <v>1356</v>
      </c>
      <c r="E326" t="s">
        <v>1357</v>
      </c>
      <c r="F326" t="s">
        <v>1363</v>
      </c>
      <c r="G326" t="s">
        <v>947</v>
      </c>
      <c r="H326" t="s">
        <v>122</v>
      </c>
      <c r="I326" t="s">
        <v>156</v>
      </c>
      <c r="J326" t="s">
        <v>617</v>
      </c>
      <c r="K326" t="s">
        <v>218</v>
      </c>
      <c r="L326" t="s">
        <v>147</v>
      </c>
      <c r="M326" t="s">
        <v>148</v>
      </c>
      <c r="N326" t="s">
        <v>1359</v>
      </c>
      <c r="O326" t="s">
        <v>1360</v>
      </c>
      <c r="P326">
        <v>3112373199</v>
      </c>
      <c r="Q326">
        <v>85324</v>
      </c>
    </row>
    <row r="327">
      <c r="A327" t="str">
        <f>_xlfn.CONCAT(TBL_Sedes[[#This Row],[Ciudad]]," ",TBL_Sedes[[#This Row],[Nombre de la sede]])</f>
        <v xml:space="preserve">San Juan De Rio Seco Sede - San Juan De Rio Seco</v>
      </c>
      <c r="B327">
        <v>82</v>
      </c>
      <c r="C327">
        <v>95091003</v>
      </c>
      <c r="D327" t="s">
        <v>370</v>
      </c>
      <c r="E327" t="s">
        <v>1364</v>
      </c>
      <c r="F327" t="s">
        <v>1365</v>
      </c>
      <c r="G327" t="s">
        <v>1366</v>
      </c>
      <c r="H327" t="s">
        <v>173</v>
      </c>
      <c r="I327" t="s">
        <v>174</v>
      </c>
      <c r="J327" t="s">
        <v>146</v>
      </c>
      <c r="K327" t="s">
        <v>147</v>
      </c>
      <c r="L327" t="s">
        <v>147</v>
      </c>
      <c r="M327" t="s">
        <v>148</v>
      </c>
      <c r="N327" t="s">
        <v>1158</v>
      </c>
      <c r="O327" t="s">
        <v>1159</v>
      </c>
      <c r="P327" t="s">
        <v>1160</v>
      </c>
      <c r="R327" t="s">
        <v>151</v>
      </c>
    </row>
    <row r="328">
      <c r="A328" t="str">
        <f>_xlfn.CONCAT(TBL_Sedes[[#This Row],[Ciudad]]," ",TBL_Sedes[[#This Row],[Nombre de la sede]])</f>
        <v xml:space="preserve">San Pablo Sede San Pablo</v>
      </c>
      <c r="B328">
        <v>48</v>
      </c>
      <c r="C328">
        <v>91041003</v>
      </c>
      <c r="D328" t="s">
        <v>580</v>
      </c>
      <c r="E328" t="s">
        <v>1367</v>
      </c>
      <c r="F328" t="s">
        <v>1368</v>
      </c>
      <c r="G328" t="s">
        <v>1369</v>
      </c>
      <c r="H328" t="s">
        <v>173</v>
      </c>
      <c r="I328" t="s">
        <v>174</v>
      </c>
      <c r="J328" t="s">
        <v>513</v>
      </c>
      <c r="K328" t="s">
        <v>584</v>
      </c>
      <c r="L328" t="s">
        <v>147</v>
      </c>
      <c r="M328" t="s">
        <v>148</v>
      </c>
      <c r="N328" t="s">
        <v>585</v>
      </c>
      <c r="O328" t="s">
        <v>586</v>
      </c>
      <c r="P328" t="s">
        <v>587</v>
      </c>
      <c r="Q328">
        <v>52486</v>
      </c>
    </row>
    <row r="329">
      <c r="A329" t="str">
        <f>_xlfn.CONCAT(TBL_Sedes[[#This Row],[Ciudad]]," ",TBL_Sedes[[#This Row],[Nombre de la sede]])</f>
        <v xml:space="preserve">San Vicente Del Caguán Centro Tecnológico De La Amazonia </v>
      </c>
      <c r="B329">
        <v>64</v>
      </c>
      <c r="C329">
        <v>95161001</v>
      </c>
      <c r="D329" t="s">
        <v>751</v>
      </c>
      <c r="E329" t="s">
        <v>1370</v>
      </c>
      <c r="F329" t="s">
        <v>759</v>
      </c>
      <c r="G329" t="s">
        <v>1371</v>
      </c>
      <c r="H329" t="s">
        <v>173</v>
      </c>
      <c r="I329" t="s">
        <v>174</v>
      </c>
      <c r="J329" t="s">
        <v>761</v>
      </c>
      <c r="K329" t="s">
        <v>147</v>
      </c>
      <c r="L329" t="s">
        <v>147</v>
      </c>
      <c r="M329" t="s">
        <v>148</v>
      </c>
      <c r="N329" t="s">
        <v>756</v>
      </c>
      <c r="O329" t="s">
        <v>757</v>
      </c>
      <c r="P329">
        <v>3144434608</v>
      </c>
      <c r="Q329">
        <v>83021</v>
      </c>
      <c r="R329" t="s">
        <v>151</v>
      </c>
      <c r="S329" t="s">
        <v>147</v>
      </c>
      <c r="T329" t="s">
        <v>147</v>
      </c>
    </row>
    <row r="330">
      <c r="A330" t="str">
        <f>_xlfn.CONCAT(TBL_Sedes[[#This Row],[Ciudad]]," ",TBL_Sedes[[#This Row],[Nombre de la sede]])</f>
        <v xml:space="preserve">Santa Fe De Antioquia Complejo Tecnológico, Turístico Y Agroindustrial Del Occidente Antioqueño</v>
      </c>
      <c r="B330">
        <v>7</v>
      </c>
      <c r="C330">
        <v>95491000</v>
      </c>
      <c r="D330" t="s">
        <v>152</v>
      </c>
      <c r="E330" t="s">
        <v>1372</v>
      </c>
      <c r="F330" t="s">
        <v>1373</v>
      </c>
      <c r="G330" t="s">
        <v>1374</v>
      </c>
      <c r="H330" t="s">
        <v>144</v>
      </c>
      <c r="I330" t="s">
        <v>145</v>
      </c>
      <c r="J330" t="s">
        <v>206</v>
      </c>
      <c r="K330" t="s">
        <v>147</v>
      </c>
      <c r="L330" t="s">
        <v>147</v>
      </c>
      <c r="M330" t="s">
        <v>148</v>
      </c>
      <c r="N330" t="s">
        <v>350</v>
      </c>
      <c r="R330" t="s">
        <v>151</v>
      </c>
      <c r="S330" t="s">
        <v>147</v>
      </c>
      <c r="T330" t="s">
        <v>147</v>
      </c>
    </row>
    <row r="331">
      <c r="A331" t="str">
        <f>_xlfn.CONCAT(TBL_Sedes[[#This Row],[Ciudad]]," ",TBL_Sedes[[#This Row],[Nombre de la sede]])</f>
        <v xml:space="preserve">Santa Marta Bodega</v>
      </c>
      <c r="B331">
        <v>309</v>
      </c>
      <c r="C331">
        <v>10104750</v>
      </c>
      <c r="D331" t="s">
        <v>635</v>
      </c>
      <c r="E331" t="s">
        <v>1375</v>
      </c>
      <c r="F331" t="s">
        <v>1376</v>
      </c>
      <c r="G331" t="s">
        <v>1377</v>
      </c>
      <c r="H331" t="s">
        <v>217</v>
      </c>
      <c r="I331" t="s">
        <v>174</v>
      </c>
      <c r="J331" t="s">
        <v>449</v>
      </c>
      <c r="K331" t="s">
        <v>147</v>
      </c>
      <c r="L331" t="s">
        <v>147</v>
      </c>
      <c r="M331" t="s">
        <v>148</v>
      </c>
      <c r="N331" t="s">
        <v>1378</v>
      </c>
      <c r="O331" t="s">
        <v>1379</v>
      </c>
      <c r="P331" t="s">
        <v>1380</v>
      </c>
      <c r="Q331">
        <v>53862</v>
      </c>
      <c r="R331" t="s">
        <v>168</v>
      </c>
      <c r="S331" t="s">
        <v>1177</v>
      </c>
      <c r="T331" t="s">
        <v>170</v>
      </c>
    </row>
    <row r="332">
      <c r="A332" t="str">
        <f>_xlfn.CONCAT(TBL_Sedes[[#This Row],[Ciudad]]," ",TBL_Sedes[[#This Row],[Nombre de la sede]])</f>
        <v xml:space="preserve">Santa Marta Centro De Logística Y Promoción Ecoturística Del Magdalena</v>
      </c>
      <c r="B332">
        <v>111</v>
      </c>
      <c r="C332">
        <v>95291000</v>
      </c>
      <c r="D332" t="s">
        <v>635</v>
      </c>
      <c r="E332" t="s">
        <v>1375</v>
      </c>
      <c r="F332" t="s">
        <v>1381</v>
      </c>
      <c r="G332" t="s">
        <v>1382</v>
      </c>
      <c r="H332" t="s">
        <v>144</v>
      </c>
      <c r="I332" t="s">
        <v>156</v>
      </c>
      <c r="J332" t="s">
        <v>165</v>
      </c>
      <c r="K332" t="s">
        <v>218</v>
      </c>
      <c r="L332" t="s">
        <v>147</v>
      </c>
      <c r="M332" t="s">
        <v>148</v>
      </c>
      <c r="N332" t="s">
        <v>639</v>
      </c>
      <c r="O332" t="s">
        <v>640</v>
      </c>
      <c r="P332">
        <v>3165209569</v>
      </c>
      <c r="Q332">
        <v>54054</v>
      </c>
      <c r="R332" t="s">
        <v>151</v>
      </c>
      <c r="S332" t="s">
        <v>147</v>
      </c>
      <c r="T332" t="s">
        <v>147</v>
      </c>
    </row>
    <row r="333">
      <c r="A333" t="str">
        <f>_xlfn.CONCAT(TBL_Sedes[[#This Row],[Ciudad]]," ",TBL_Sedes[[#This Row],[Nombre de la sede]])</f>
        <v xml:space="preserve">Santa Marta Ipc - Centro De Logística Y Promoción Ecoturística Del Magdalena</v>
      </c>
      <c r="B333">
        <v>112</v>
      </c>
      <c r="C333">
        <v>95291001</v>
      </c>
      <c r="D333" t="s">
        <v>635</v>
      </c>
      <c r="E333" t="s">
        <v>1375</v>
      </c>
      <c r="F333" t="s">
        <v>1383</v>
      </c>
      <c r="G333" t="s">
        <v>1384</v>
      </c>
      <c r="H333" t="s">
        <v>173</v>
      </c>
      <c r="I333" t="s">
        <v>174</v>
      </c>
      <c r="J333" t="s">
        <v>200</v>
      </c>
      <c r="K333" t="s">
        <v>218</v>
      </c>
      <c r="L333" t="s">
        <v>147</v>
      </c>
      <c r="M333" t="s">
        <v>148</v>
      </c>
      <c r="N333" t="s">
        <v>1378</v>
      </c>
      <c r="O333" t="s">
        <v>1379</v>
      </c>
      <c r="P333">
        <v>3016813142</v>
      </c>
      <c r="Q333">
        <v>53862</v>
      </c>
      <c r="R333" t="s">
        <v>380</v>
      </c>
      <c r="S333" t="s">
        <v>147</v>
      </c>
      <c r="T333" t="s">
        <v>147</v>
      </c>
    </row>
    <row r="334">
      <c r="A334" t="str">
        <f>_xlfn.CONCAT(TBL_Sedes[[#This Row],[Ciudad]]," ",TBL_Sedes[[#This Row],[Nombre de la sede]])</f>
        <v xml:space="preserve">Santa Marta Regional Magdalena</v>
      </c>
      <c r="B334">
        <v>250</v>
      </c>
      <c r="C334">
        <v>10104700</v>
      </c>
      <c r="D334" t="s">
        <v>635</v>
      </c>
      <c r="E334" t="s">
        <v>1375</v>
      </c>
      <c r="F334" t="s">
        <v>1385</v>
      </c>
      <c r="G334" t="s">
        <v>1386</v>
      </c>
      <c r="H334" t="s">
        <v>122</v>
      </c>
      <c r="I334" t="s">
        <v>145</v>
      </c>
      <c r="J334" t="s">
        <v>454</v>
      </c>
      <c r="K334" t="s">
        <v>147</v>
      </c>
      <c r="L334" t="s">
        <v>147</v>
      </c>
      <c r="M334" t="s">
        <v>148</v>
      </c>
      <c r="N334" t="s">
        <v>639</v>
      </c>
      <c r="O334" t="s">
        <v>640</v>
      </c>
      <c r="P334">
        <v>3165209569</v>
      </c>
      <c r="Q334">
        <v>54054</v>
      </c>
      <c r="R334" t="s">
        <v>168</v>
      </c>
      <c r="S334" t="s">
        <v>1387</v>
      </c>
      <c r="T334" t="s">
        <v>170</v>
      </c>
    </row>
    <row r="335">
      <c r="A335" t="str">
        <f>_xlfn.CONCAT(TBL_Sedes[[#This Row],[Ciudad]]," ",TBL_Sedes[[#This Row],[Nombre de la sede]])</f>
        <v xml:space="preserve">Santa Marta Sede El Banco</v>
      </c>
      <c r="B335">
        <v>248</v>
      </c>
      <c r="C335">
        <v>91181002</v>
      </c>
      <c r="D335" t="s">
        <v>635</v>
      </c>
      <c r="E335" t="s">
        <v>1375</v>
      </c>
      <c r="F335" t="s">
        <v>1388</v>
      </c>
      <c r="G335" t="s">
        <v>1389</v>
      </c>
      <c r="H335" t="s">
        <v>173</v>
      </c>
      <c r="I335" t="s">
        <v>174</v>
      </c>
      <c r="J335" t="s">
        <v>157</v>
      </c>
      <c r="K335" t="s">
        <v>147</v>
      </c>
      <c r="L335" t="s">
        <v>147</v>
      </c>
      <c r="M335" t="s">
        <v>148</v>
      </c>
      <c r="N335" t="s">
        <v>779</v>
      </c>
      <c r="O335" t="s">
        <v>780</v>
      </c>
      <c r="P335">
        <v>3156986545</v>
      </c>
      <c r="Q335">
        <v>54133</v>
      </c>
    </row>
    <row r="336">
      <c r="A336" t="str">
        <f>_xlfn.CONCAT(TBL_Sedes[[#This Row],[Ciudad]]," ",TBL_Sedes[[#This Row],[Nombre de la sede]])</f>
        <v xml:space="preserve">Santa Rosa De Cabal Santa Rosa De Cabal</v>
      </c>
      <c r="B336">
        <v>220</v>
      </c>
      <c r="C336">
        <v>91211002</v>
      </c>
      <c r="D336" t="s">
        <v>718</v>
      </c>
      <c r="E336" t="s">
        <v>1390</v>
      </c>
      <c r="F336" t="s">
        <v>1390</v>
      </c>
      <c r="G336" t="s">
        <v>1391</v>
      </c>
      <c r="H336" t="s">
        <v>173</v>
      </c>
      <c r="I336" t="s">
        <v>174</v>
      </c>
      <c r="J336" t="s">
        <v>193</v>
      </c>
      <c r="K336" t="s">
        <v>147</v>
      </c>
      <c r="L336" t="s">
        <v>147</v>
      </c>
      <c r="M336" t="s">
        <v>194</v>
      </c>
      <c r="N336" t="s">
        <v>726</v>
      </c>
      <c r="O336" t="s">
        <v>727</v>
      </c>
      <c r="P336">
        <v>3148223458</v>
      </c>
      <c r="Q336">
        <v>63130</v>
      </c>
      <c r="R336" t="s">
        <v>151</v>
      </c>
      <c r="S336" t="s">
        <v>147</v>
      </c>
      <c r="T336" t="s">
        <v>147</v>
      </c>
    </row>
    <row r="337">
      <c r="A337" t="str">
        <f>_xlfn.CONCAT(TBL_Sedes[[#This Row],[Ciudad]]," ",TBL_Sedes[[#This Row],[Nombre de la sede]])</f>
        <v xml:space="preserve">Santa Rosa De Osos Santa Rosa De Osos</v>
      </c>
      <c r="B337">
        <v>11</v>
      </c>
      <c r="C337">
        <v>92051001</v>
      </c>
      <c r="D337" t="s">
        <v>152</v>
      </c>
      <c r="E337" t="s">
        <v>1392</v>
      </c>
      <c r="F337" t="s">
        <v>1392</v>
      </c>
      <c r="G337" t="s">
        <v>1393</v>
      </c>
      <c r="H337" t="s">
        <v>173</v>
      </c>
      <c r="I337" t="s">
        <v>174</v>
      </c>
      <c r="J337" t="s">
        <v>1097</v>
      </c>
      <c r="K337" t="s">
        <v>147</v>
      </c>
      <c r="L337" t="s">
        <v>147</v>
      </c>
      <c r="M337" t="s">
        <v>148</v>
      </c>
      <c r="N337" t="s">
        <v>829</v>
      </c>
      <c r="O337" t="s">
        <v>830</v>
      </c>
      <c r="P337">
        <v>3182124446</v>
      </c>
      <c r="Q337">
        <v>43647</v>
      </c>
      <c r="R337" t="s">
        <v>151</v>
      </c>
      <c r="S337" t="s">
        <v>147</v>
      </c>
      <c r="T337" t="s">
        <v>147</v>
      </c>
    </row>
    <row r="338">
      <c r="A338" t="str">
        <f>_xlfn.CONCAT(TBL_Sedes[[#This Row],[Ciudad]]," ",TBL_Sedes[[#This Row],[Nombre de la sede]])</f>
        <v xml:space="preserve">Santa Rosalia Subsede</v>
      </c>
      <c r="B338">
        <v>338</v>
      </c>
      <c r="C338">
        <v>95311052</v>
      </c>
      <c r="D338" t="s">
        <v>693</v>
      </c>
      <c r="E338" t="s">
        <v>1394</v>
      </c>
      <c r="F338" t="s">
        <v>465</v>
      </c>
      <c r="G338" t="s">
        <v>1395</v>
      </c>
      <c r="H338" t="s">
        <v>217</v>
      </c>
      <c r="I338" t="s">
        <v>174</v>
      </c>
      <c r="J338" t="s">
        <v>206</v>
      </c>
      <c r="K338" t="s">
        <v>200</v>
      </c>
      <c r="L338" t="s">
        <v>218</v>
      </c>
      <c r="M338" t="s">
        <v>148</v>
      </c>
      <c r="N338" t="s">
        <v>697</v>
      </c>
      <c r="O338" t="s">
        <v>698</v>
      </c>
      <c r="P338">
        <v>3108712803</v>
      </c>
    </row>
    <row r="339">
      <c r="A339" t="str">
        <f>_xlfn.CONCAT(TBL_Sedes[[#This Row],[Ciudad]]," ",TBL_Sedes[[#This Row],[Nombre de la sede]])</f>
        <v xml:space="preserve">Santander De Quilichao Centro Integrado Para La Formación Profesional Del Norte Del Cauca – La Samaria</v>
      </c>
      <c r="B339">
        <v>255</v>
      </c>
      <c r="C339">
        <v>93071002</v>
      </c>
      <c r="D339" t="s">
        <v>841</v>
      </c>
      <c r="E339" t="s">
        <v>1396</v>
      </c>
      <c r="F339" t="s">
        <v>1397</v>
      </c>
      <c r="G339" t="s">
        <v>1398</v>
      </c>
      <c r="H339" t="s">
        <v>173</v>
      </c>
      <c r="I339" t="s">
        <v>156</v>
      </c>
      <c r="J339" t="s">
        <v>193</v>
      </c>
      <c r="K339" t="s">
        <v>193</v>
      </c>
      <c r="L339" t="s">
        <v>147</v>
      </c>
      <c r="M339" t="s">
        <v>148</v>
      </c>
      <c r="N339" t="s">
        <v>1225</v>
      </c>
      <c r="O339" t="s">
        <v>1226</v>
      </c>
      <c r="P339">
        <v>3113185965</v>
      </c>
      <c r="Q339">
        <v>22116</v>
      </c>
      <c r="R339" t="s">
        <v>151</v>
      </c>
      <c r="S339" t="s">
        <v>147</v>
      </c>
      <c r="T339" t="s">
        <v>147</v>
      </c>
    </row>
    <row r="340">
      <c r="A340" t="str">
        <f>_xlfn.CONCAT(TBL_Sedes[[#This Row],[Ciudad]]," ",TBL_Sedes[[#This Row],[Nombre de la sede]])</f>
        <v xml:space="preserve">Santander De Quilichao Sede - Santander De Quilichao</v>
      </c>
      <c r="B340">
        <v>67</v>
      </c>
      <c r="C340">
        <v>92211001</v>
      </c>
      <c r="D340" t="s">
        <v>841</v>
      </c>
      <c r="E340" t="s">
        <v>1396</v>
      </c>
      <c r="F340" t="s">
        <v>1399</v>
      </c>
      <c r="G340" t="s">
        <v>1400</v>
      </c>
      <c r="H340" t="s">
        <v>173</v>
      </c>
      <c r="I340" t="s">
        <v>145</v>
      </c>
      <c r="J340" t="s">
        <v>157</v>
      </c>
      <c r="K340" t="s">
        <v>193</v>
      </c>
      <c r="L340" t="s">
        <v>147</v>
      </c>
      <c r="M340" t="s">
        <v>148</v>
      </c>
      <c r="N340" t="s">
        <v>1225</v>
      </c>
      <c r="O340" t="s">
        <v>1226</v>
      </c>
      <c r="P340">
        <v>3113185965</v>
      </c>
      <c r="Q340">
        <v>22116</v>
      </c>
      <c r="R340" t="s">
        <v>151</v>
      </c>
      <c r="S340" t="s">
        <v>147</v>
      </c>
      <c r="T340" t="s">
        <v>147</v>
      </c>
    </row>
    <row r="341">
      <c r="A341" t="str">
        <f>_xlfn.CONCAT(TBL_Sedes[[#This Row],[Ciudad]]," ",TBL_Sedes[[#This Row],[Nombre de la sede]])</f>
        <v xml:space="preserve">Santiago De Tolú Sede Escuela Gastronómica</v>
      </c>
      <c r="B341">
        <v>150</v>
      </c>
      <c r="C341">
        <v>95421001</v>
      </c>
      <c r="D341" t="s">
        <v>663</v>
      </c>
      <c r="E341" t="s">
        <v>1401</v>
      </c>
      <c r="F341" t="s">
        <v>1083</v>
      </c>
      <c r="G341" t="s">
        <v>1402</v>
      </c>
      <c r="H341" t="s">
        <v>173</v>
      </c>
      <c r="I341" t="s">
        <v>174</v>
      </c>
      <c r="J341" t="s">
        <v>146</v>
      </c>
      <c r="K341" t="s">
        <v>207</v>
      </c>
      <c r="L341" t="s">
        <v>147</v>
      </c>
      <c r="M341" t="s">
        <v>148</v>
      </c>
      <c r="N341" t="s">
        <v>667</v>
      </c>
      <c r="O341" t="s">
        <v>668</v>
      </c>
      <c r="P341" t="s">
        <v>669</v>
      </c>
      <c r="Q341">
        <v>54527</v>
      </c>
    </row>
    <row r="342">
      <c r="A342" t="str">
        <f>_xlfn.CONCAT(TBL_Sedes[[#This Row],[Ciudad]]," ",TBL_Sedes[[#This Row],[Nombre de la sede]])</f>
        <v xml:space="preserve">Saravena Sede Saravena</v>
      </c>
      <c r="B342">
        <v>169</v>
      </c>
      <c r="C342">
        <v>95301002</v>
      </c>
      <c r="D342" t="s">
        <v>162</v>
      </c>
      <c r="E342" t="s">
        <v>1403</v>
      </c>
      <c r="F342" t="s">
        <v>1404</v>
      </c>
      <c r="G342" t="s">
        <v>1405</v>
      </c>
      <c r="H342" t="s">
        <v>173</v>
      </c>
      <c r="I342" t="s">
        <v>174</v>
      </c>
      <c r="J342" t="s">
        <v>165</v>
      </c>
      <c r="K342" t="s">
        <v>147</v>
      </c>
      <c r="L342" t="s">
        <v>147</v>
      </c>
      <c r="M342" t="s">
        <v>148</v>
      </c>
      <c r="N342" t="s">
        <v>166</v>
      </c>
      <c r="O342" t="s">
        <v>167</v>
      </c>
      <c r="P342">
        <v>3144351804</v>
      </c>
      <c r="Q342">
        <v>74220</v>
      </c>
      <c r="R342" t="s">
        <v>151</v>
      </c>
      <c r="S342" t="s">
        <v>147</v>
      </c>
      <c r="T342" t="s">
        <v>147</v>
      </c>
    </row>
    <row r="343">
      <c r="A343" t="str">
        <f>_xlfn.CONCAT(TBL_Sedes[[#This Row],[Ciudad]]," ",TBL_Sedes[[#This Row],[Nombre de la sede]])</f>
        <v xml:space="preserve">Sibaté Sede Sibaté</v>
      </c>
      <c r="B343">
        <v>199</v>
      </c>
      <c r="C343">
        <v>92321001</v>
      </c>
      <c r="D343" t="s">
        <v>370</v>
      </c>
      <c r="E343" t="s">
        <v>1406</v>
      </c>
      <c r="F343" t="s">
        <v>1407</v>
      </c>
      <c r="G343" t="s">
        <v>1408</v>
      </c>
      <c r="H343" t="s">
        <v>173</v>
      </c>
      <c r="I343" t="s">
        <v>174</v>
      </c>
      <c r="J343" t="s">
        <v>146</v>
      </c>
      <c r="K343" t="s">
        <v>808</v>
      </c>
      <c r="L343" t="s">
        <v>808</v>
      </c>
      <c r="M343" t="s">
        <v>148</v>
      </c>
      <c r="N343" t="s">
        <v>1409</v>
      </c>
      <c r="O343" t="s">
        <v>1410</v>
      </c>
      <c r="P343">
        <v>3148217234</v>
      </c>
      <c r="Q343">
        <v>18707</v>
      </c>
    </row>
    <row r="344">
      <c r="A344" t="str">
        <f>_xlfn.CONCAT(TBL_Sedes[[#This Row],[Ciudad]]," ",TBL_Sedes[[#This Row],[Nombre de la sede]])</f>
        <v xml:space="preserve">Sibundoy Sibundoy</v>
      </c>
      <c r="B344">
        <v>221</v>
      </c>
      <c r="C344">
        <v>95181002</v>
      </c>
      <c r="D344" t="s">
        <v>1100</v>
      </c>
      <c r="E344" t="s">
        <v>1411</v>
      </c>
      <c r="F344" t="s">
        <v>1411</v>
      </c>
      <c r="G344" t="s">
        <v>1412</v>
      </c>
      <c r="H344" t="s">
        <v>173</v>
      </c>
      <c r="I344" t="s">
        <v>174</v>
      </c>
      <c r="J344" t="s">
        <v>193</v>
      </c>
      <c r="K344" t="s">
        <v>147</v>
      </c>
      <c r="L344" t="s">
        <v>147</v>
      </c>
      <c r="M344" t="s">
        <v>148</v>
      </c>
      <c r="N344" t="s">
        <v>1105</v>
      </c>
      <c r="O344" t="s">
        <v>1106</v>
      </c>
      <c r="P344">
        <v>3144588946</v>
      </c>
      <c r="Q344">
        <v>84884</v>
      </c>
      <c r="R344" t="s">
        <v>151</v>
      </c>
      <c r="S344" t="s">
        <v>147</v>
      </c>
      <c r="T344" t="s">
        <v>147</v>
      </c>
    </row>
    <row r="345">
      <c r="A345" t="str">
        <f>_xlfn.CONCAT(TBL_Sedes[[#This Row],[Ciudad]]," ",TBL_Sedes[[#This Row],[Nombre de la sede]])</f>
        <v xml:space="preserve">Sincelejo Centro De La Innovación La Tecnología Y Los Servicios - La Gallera</v>
      </c>
      <c r="B345">
        <v>206</v>
      </c>
      <c r="C345">
        <v>95421003</v>
      </c>
      <c r="D345" t="s">
        <v>663</v>
      </c>
      <c r="E345" t="s">
        <v>1413</v>
      </c>
      <c r="F345" t="s">
        <v>1414</v>
      </c>
      <c r="G345" t="s">
        <v>1415</v>
      </c>
      <c r="H345" t="s">
        <v>173</v>
      </c>
      <c r="I345" t="s">
        <v>145</v>
      </c>
      <c r="J345" t="s">
        <v>578</v>
      </c>
      <c r="K345" t="s">
        <v>147</v>
      </c>
      <c r="L345" t="s">
        <v>147</v>
      </c>
      <c r="M345" t="s">
        <v>148</v>
      </c>
      <c r="N345" t="s">
        <v>667</v>
      </c>
      <c r="O345" t="s">
        <v>668</v>
      </c>
      <c r="P345" t="s">
        <v>669</v>
      </c>
      <c r="Q345">
        <v>54527</v>
      </c>
    </row>
    <row r="346">
      <c r="A346" t="str">
        <f>_xlfn.CONCAT(TBL_Sedes[[#This Row],[Ciudad]]," ",TBL_Sedes[[#This Row],[Nombre de la sede]])</f>
        <v xml:space="preserve">Sincelejo Centro De La Innovación, La Tecnología Y Los Servicios</v>
      </c>
      <c r="B346" t="s">
        <v>1416</v>
      </c>
      <c r="C346">
        <v>95421000</v>
      </c>
      <c r="D346" t="s">
        <v>663</v>
      </c>
      <c r="E346" t="s">
        <v>1413</v>
      </c>
      <c r="F346" t="s">
        <v>1417</v>
      </c>
      <c r="G346" t="s">
        <v>1418</v>
      </c>
      <c r="H346" t="s">
        <v>144</v>
      </c>
      <c r="I346" t="s">
        <v>156</v>
      </c>
      <c r="J346" t="s">
        <v>193</v>
      </c>
      <c r="K346" t="s">
        <v>147</v>
      </c>
      <c r="L346" t="s">
        <v>147</v>
      </c>
      <c r="M346" t="s">
        <v>148</v>
      </c>
      <c r="N346" t="s">
        <v>667</v>
      </c>
      <c r="O346" t="s">
        <v>668</v>
      </c>
      <c r="P346" t="s">
        <v>669</v>
      </c>
      <c r="Q346">
        <v>54527</v>
      </c>
    </row>
    <row r="347">
      <c r="A347" t="str">
        <f>_xlfn.CONCAT(TBL_Sedes[[#This Row],[Ciudad]]," ",TBL_Sedes[[#This Row],[Nombre de la sede]])</f>
        <v xml:space="preserve">Sincelejo Regional Sucre</v>
      </c>
      <c r="B347">
        <v>149</v>
      </c>
      <c r="C347">
        <v>10107000</v>
      </c>
      <c r="D347" t="s">
        <v>663</v>
      </c>
      <c r="E347" t="s">
        <v>1413</v>
      </c>
      <c r="F347" t="s">
        <v>1419</v>
      </c>
      <c r="G347" t="s">
        <v>1420</v>
      </c>
      <c r="H347" t="s">
        <v>122</v>
      </c>
      <c r="I347" t="s">
        <v>156</v>
      </c>
      <c r="J347" t="s">
        <v>1421</v>
      </c>
      <c r="K347" t="s">
        <v>1422</v>
      </c>
      <c r="L347" t="s">
        <v>147</v>
      </c>
      <c r="M347" t="s">
        <v>148</v>
      </c>
      <c r="N347" t="s">
        <v>667</v>
      </c>
      <c r="O347" t="s">
        <v>668</v>
      </c>
      <c r="P347" t="s">
        <v>669</v>
      </c>
      <c r="Q347">
        <v>54527</v>
      </c>
    </row>
    <row r="348">
      <c r="A348" t="str">
        <f>_xlfn.CONCAT(TBL_Sedes[[#This Row],[Ciudad]]," ",TBL_Sedes[[#This Row],[Nombre de la sede]])</f>
        <v xml:space="preserve">Sincelejo Sede Nueva Boston</v>
      </c>
      <c r="B348">
        <v>262</v>
      </c>
      <c r="C348">
        <v>10107001</v>
      </c>
      <c r="D348" t="s">
        <v>663</v>
      </c>
      <c r="E348" t="s">
        <v>1413</v>
      </c>
      <c r="F348" t="s">
        <v>1423</v>
      </c>
      <c r="G348" t="s">
        <v>1424</v>
      </c>
      <c r="H348" t="s">
        <v>173</v>
      </c>
      <c r="I348" t="s">
        <v>174</v>
      </c>
      <c r="J348" t="s">
        <v>278</v>
      </c>
      <c r="K348" t="s">
        <v>147</v>
      </c>
      <c r="L348" t="s">
        <v>147</v>
      </c>
      <c r="M348" t="s">
        <v>148</v>
      </c>
      <c r="N348" t="s">
        <v>667</v>
      </c>
      <c r="O348" t="s">
        <v>668</v>
      </c>
      <c r="P348">
        <v>3123138629</v>
      </c>
      <c r="Q348">
        <v>54233</v>
      </c>
    </row>
    <row r="349">
      <c r="A349" t="str">
        <f>_xlfn.CONCAT(TBL_Sedes[[#This Row],[Ciudad]]," ",TBL_Sedes[[#This Row],[Nombre de la sede]])</f>
        <v xml:space="preserve">Soacha Centro De Tecnologías Del Transporte</v>
      </c>
      <c r="B349">
        <v>196</v>
      </c>
      <c r="C349">
        <v>92131000</v>
      </c>
      <c r="D349" t="s">
        <v>286</v>
      </c>
      <c r="E349" t="s">
        <v>1425</v>
      </c>
      <c r="F349" t="s">
        <v>1426</v>
      </c>
      <c r="G349" t="s">
        <v>1427</v>
      </c>
      <c r="H349" t="s">
        <v>144</v>
      </c>
      <c r="I349" t="s">
        <v>156</v>
      </c>
      <c r="J349" t="s">
        <v>513</v>
      </c>
      <c r="K349" t="s">
        <v>147</v>
      </c>
      <c r="L349" t="s">
        <v>147</v>
      </c>
      <c r="M349" t="s">
        <v>148</v>
      </c>
      <c r="N349" t="s">
        <v>1428</v>
      </c>
      <c r="O349" t="s">
        <v>1429</v>
      </c>
      <c r="P349" t="s">
        <v>1430</v>
      </c>
      <c r="Q349">
        <v>18521</v>
      </c>
    </row>
    <row r="350">
      <c r="A350" t="str">
        <f>_xlfn.CONCAT(TBL_Sedes[[#This Row],[Ciudad]]," ",TBL_Sedes[[#This Row],[Nombre de la sede]])</f>
        <v xml:space="preserve">Soacha Centro De Tecnologías Para La Construcción Y La Madera</v>
      </c>
      <c r="B350">
        <v>35</v>
      </c>
      <c r="C350">
        <v>92091000</v>
      </c>
      <c r="D350" t="s">
        <v>286</v>
      </c>
      <c r="E350" t="s">
        <v>1425</v>
      </c>
      <c r="F350" t="s">
        <v>1431</v>
      </c>
      <c r="G350" t="s">
        <v>1432</v>
      </c>
      <c r="H350" t="s">
        <v>144</v>
      </c>
      <c r="I350" t="s">
        <v>156</v>
      </c>
      <c r="J350" t="s">
        <v>146</v>
      </c>
      <c r="K350" t="s">
        <v>147</v>
      </c>
      <c r="L350" t="s">
        <v>147</v>
      </c>
      <c r="M350" t="s">
        <v>148</v>
      </c>
      <c r="N350" t="s">
        <v>1433</v>
      </c>
      <c r="O350" t="s">
        <v>1434</v>
      </c>
      <c r="P350">
        <v>3023796398</v>
      </c>
      <c r="Q350">
        <v>14825</v>
      </c>
      <c r="R350" t="s">
        <v>151</v>
      </c>
      <c r="S350" t="s">
        <v>147</v>
      </c>
      <c r="T350" t="s">
        <v>147</v>
      </c>
    </row>
    <row r="351">
      <c r="A351" t="str">
        <f>_xlfn.CONCAT(TBL_Sedes[[#This Row],[Ciudad]]," ",TBL_Sedes[[#This Row],[Nombre de la sede]])</f>
        <v xml:space="preserve">Soacha Centro Industrial Y Desarrollo Empresarial De Soacha</v>
      </c>
      <c r="B351">
        <v>89</v>
      </c>
      <c r="C351">
        <v>92321000</v>
      </c>
      <c r="D351" t="s">
        <v>370</v>
      </c>
      <c r="E351" t="s">
        <v>1425</v>
      </c>
      <c r="F351" t="s">
        <v>1435</v>
      </c>
      <c r="G351" t="s">
        <v>1436</v>
      </c>
      <c r="H351" t="s">
        <v>144</v>
      </c>
      <c r="I351" t="s">
        <v>145</v>
      </c>
      <c r="J351" t="s">
        <v>617</v>
      </c>
      <c r="K351" t="s">
        <v>165</v>
      </c>
      <c r="L351" t="s">
        <v>165</v>
      </c>
      <c r="M351" t="s">
        <v>148</v>
      </c>
      <c r="N351" t="s">
        <v>1409</v>
      </c>
      <c r="O351" t="s">
        <v>1410</v>
      </c>
      <c r="P351">
        <v>3148217234</v>
      </c>
      <c r="Q351">
        <v>18707</v>
      </c>
      <c r="R351" t="s">
        <v>380</v>
      </c>
      <c r="S351" t="s">
        <v>147</v>
      </c>
      <c r="T351" t="s">
        <v>147</v>
      </c>
    </row>
    <row r="352">
      <c r="A352" t="str">
        <f>_xlfn.CONCAT(TBL_Sedes[[#This Row],[Ciudad]]," ",TBL_Sedes[[#This Row],[Nombre de la sede]])</f>
        <v xml:space="preserve">Soacha Sede El Altico</v>
      </c>
      <c r="B352">
        <v>184</v>
      </c>
      <c r="C352">
        <v>92321002</v>
      </c>
      <c r="D352" t="s">
        <v>370</v>
      </c>
      <c r="E352" t="s">
        <v>1425</v>
      </c>
      <c r="F352" t="s">
        <v>1437</v>
      </c>
      <c r="G352" t="s">
        <v>1438</v>
      </c>
      <c r="H352" t="s">
        <v>173</v>
      </c>
      <c r="I352" t="s">
        <v>174</v>
      </c>
      <c r="J352" t="s">
        <v>146</v>
      </c>
      <c r="K352" t="s">
        <v>147</v>
      </c>
      <c r="L352" t="s">
        <v>147</v>
      </c>
      <c r="M352" t="s">
        <v>148</v>
      </c>
      <c r="N352" t="s">
        <v>1439</v>
      </c>
      <c r="O352" t="s">
        <v>1440</v>
      </c>
      <c r="P352" t="s">
        <v>1441</v>
      </c>
      <c r="Q352">
        <v>18707</v>
      </c>
    </row>
    <row r="353">
      <c r="A353" t="str">
        <f>_xlfn.CONCAT(TBL_Sedes[[#This Row],[Ciudad]]," ",TBL_Sedes[[#This Row],[Nombre de la sede]])</f>
        <v xml:space="preserve">Soata Sede Soatá</v>
      </c>
      <c r="B353">
        <v>193</v>
      </c>
      <c r="C353">
        <v>95451002</v>
      </c>
      <c r="D353" t="s">
        <v>626</v>
      </c>
      <c r="E353" t="s">
        <v>1442</v>
      </c>
      <c r="F353" t="s">
        <v>1443</v>
      </c>
      <c r="G353" t="s">
        <v>1444</v>
      </c>
      <c r="H353" t="s">
        <v>173</v>
      </c>
      <c r="I353" t="s">
        <v>174</v>
      </c>
      <c r="J353" t="s">
        <v>165</v>
      </c>
      <c r="K353" t="s">
        <v>147</v>
      </c>
      <c r="L353" t="s">
        <v>147</v>
      </c>
      <c r="M353" t="s">
        <v>360</v>
      </c>
      <c r="N353" t="s">
        <v>976</v>
      </c>
      <c r="O353" t="s">
        <v>977</v>
      </c>
      <c r="P353">
        <v>3233069708</v>
      </c>
      <c r="Q353">
        <v>74006</v>
      </c>
    </row>
    <row r="354">
      <c r="A354" t="str">
        <f>_xlfn.CONCAT(TBL_Sedes[[#This Row],[Ciudad]]," ",TBL_Sedes[[#This Row],[Nombre de la sede]])</f>
        <v xml:space="preserve">Socorro Sede Socorro</v>
      </c>
      <c r="B354">
        <v>145</v>
      </c>
      <c r="C354">
        <v>95411001</v>
      </c>
      <c r="D354" t="s">
        <v>230</v>
      </c>
      <c r="E354" t="s">
        <v>1445</v>
      </c>
      <c r="F354" t="s">
        <v>1446</v>
      </c>
      <c r="G354" t="s">
        <v>1447</v>
      </c>
      <c r="H354" t="s">
        <v>173</v>
      </c>
      <c r="I354" t="s">
        <v>174</v>
      </c>
      <c r="J354" t="s">
        <v>1345</v>
      </c>
      <c r="K354" t="s">
        <v>147</v>
      </c>
      <c r="L354" t="s">
        <v>147</v>
      </c>
      <c r="M354" t="s">
        <v>148</v>
      </c>
      <c r="N354" t="s">
        <v>1346</v>
      </c>
      <c r="O354">
        <v>0</v>
      </c>
      <c r="P354">
        <v>3208243027</v>
      </c>
      <c r="Q354">
        <v>73875</v>
      </c>
      <c r="R354" t="s">
        <v>151</v>
      </c>
      <c r="S354" t="s">
        <v>147</v>
      </c>
      <c r="T354" t="s">
        <v>147</v>
      </c>
    </row>
    <row r="355">
      <c r="A355" t="str">
        <f>_xlfn.CONCAT(TBL_Sedes[[#This Row],[Ciudad]]," ",TBL_Sedes[[#This Row],[Nombre de la sede]])</f>
        <v xml:space="preserve">Sogamoso Centro Industrial De Mantenimiento Y Manufactura</v>
      </c>
      <c r="B355" t="s">
        <v>1448</v>
      </c>
      <c r="C355">
        <v>95141000</v>
      </c>
      <c r="D355" t="s">
        <v>626</v>
      </c>
      <c r="E355" t="s">
        <v>1449</v>
      </c>
      <c r="F355" t="s">
        <v>1450</v>
      </c>
      <c r="G355" t="s">
        <v>1451</v>
      </c>
      <c r="H355" t="s">
        <v>144</v>
      </c>
      <c r="I355" t="s">
        <v>156</v>
      </c>
      <c r="J355" t="s">
        <v>345</v>
      </c>
      <c r="K355" t="s">
        <v>1203</v>
      </c>
      <c r="L355" t="s">
        <v>147</v>
      </c>
      <c r="M355" t="s">
        <v>194</v>
      </c>
      <c r="N355" t="s">
        <v>1452</v>
      </c>
      <c r="O355" t="s">
        <v>1453</v>
      </c>
      <c r="P355">
        <v>3132275829</v>
      </c>
      <c r="Q355">
        <v>82481</v>
      </c>
      <c r="R355" t="s">
        <v>151</v>
      </c>
      <c r="S355" t="s">
        <v>147</v>
      </c>
      <c r="T355" t="s">
        <v>147</v>
      </c>
    </row>
    <row r="356">
      <c r="A356" t="str">
        <f>_xlfn.CONCAT(TBL_Sedes[[#This Row],[Ciudad]]," ",TBL_Sedes[[#This Row],[Nombre de la sede]])</f>
        <v xml:space="preserve">Sogamoso Centro Minero</v>
      </c>
      <c r="B356">
        <v>55</v>
      </c>
      <c r="C356">
        <v>91111000</v>
      </c>
      <c r="D356" t="s">
        <v>626</v>
      </c>
      <c r="E356" t="s">
        <v>1449</v>
      </c>
      <c r="F356" t="s">
        <v>1454</v>
      </c>
      <c r="G356" t="s">
        <v>1455</v>
      </c>
      <c r="H356" t="s">
        <v>144</v>
      </c>
      <c r="I356" t="s">
        <v>145</v>
      </c>
      <c r="J356" t="s">
        <v>1203</v>
      </c>
      <c r="K356" t="s">
        <v>147</v>
      </c>
      <c r="L356" t="s">
        <v>147</v>
      </c>
      <c r="M356" t="s">
        <v>148</v>
      </c>
      <c r="N356" t="s">
        <v>1452</v>
      </c>
      <c r="O356" t="s">
        <v>1453</v>
      </c>
      <c r="P356">
        <v>3132275829</v>
      </c>
      <c r="Q356">
        <v>82481</v>
      </c>
    </row>
    <row r="357">
      <c r="A357" t="str">
        <f>_xlfn.CONCAT(TBL_Sedes[[#This Row],[Ciudad]]," ",TBL_Sedes[[#This Row],[Nombre de la sede]])</f>
        <v xml:space="preserve">Sogamoso Regional Boyacá</v>
      </c>
      <c r="B357">
        <v>53</v>
      </c>
      <c r="C357">
        <v>10101500</v>
      </c>
      <c r="D357" t="s">
        <v>626</v>
      </c>
      <c r="E357" t="s">
        <v>1449</v>
      </c>
      <c r="F357" t="s">
        <v>1456</v>
      </c>
      <c r="G357" t="s">
        <v>1451</v>
      </c>
      <c r="H357" t="s">
        <v>122</v>
      </c>
      <c r="I357" t="s">
        <v>156</v>
      </c>
      <c r="J357" t="s">
        <v>345</v>
      </c>
      <c r="K357" t="s">
        <v>147</v>
      </c>
      <c r="L357" t="s">
        <v>147</v>
      </c>
      <c r="M357" t="s">
        <v>148</v>
      </c>
      <c r="N357" t="s">
        <v>630</v>
      </c>
      <c r="O357" t="s">
        <v>631</v>
      </c>
      <c r="P357">
        <v>3158006906</v>
      </c>
      <c r="Q357">
        <v>82200</v>
      </c>
      <c r="R357" t="s">
        <v>151</v>
      </c>
      <c r="S357" t="s">
        <v>147</v>
      </c>
      <c r="T357" t="s">
        <v>147</v>
      </c>
    </row>
    <row r="358">
      <c r="A358" t="str">
        <f>_xlfn.CONCAT(TBL_Sedes[[#This Row],[Ciudad]]," ",TBL_Sedes[[#This Row],[Nombre de la sede]])</f>
        <v xml:space="preserve">Soledad Nodo Operaciones Comerciales</v>
      </c>
      <c r="B358">
        <v>354</v>
      </c>
      <c r="C358">
        <v>93021007</v>
      </c>
      <c r="D358" t="s">
        <v>220</v>
      </c>
      <c r="E358" t="s">
        <v>1457</v>
      </c>
      <c r="F358" t="s">
        <v>1458</v>
      </c>
      <c r="G358" t="s">
        <v>1459</v>
      </c>
      <c r="H358" t="s">
        <v>224</v>
      </c>
      <c r="I358" t="s">
        <v>174</v>
      </c>
      <c r="J358" t="s">
        <v>689</v>
      </c>
      <c r="K358" t="s">
        <v>147</v>
      </c>
      <c r="L358" t="s">
        <v>147</v>
      </c>
      <c r="M358" t="s">
        <v>227</v>
      </c>
      <c r="N358" t="s">
        <v>244</v>
      </c>
      <c r="O358" t="s">
        <v>245</v>
      </c>
      <c r="P358">
        <v>3024012301</v>
      </c>
      <c r="Q358">
        <v>52734</v>
      </c>
    </row>
    <row r="359">
      <c r="A359" t="str">
        <f>_xlfn.CONCAT(TBL_Sedes[[#This Row],[Ciudad]]," ",TBL_Sedes[[#This Row],[Nombre de la sede]])</f>
        <v xml:space="preserve">Sonsón Sede Sonsón</v>
      </c>
      <c r="B359">
        <v>15</v>
      </c>
      <c r="C359">
        <v>95031001</v>
      </c>
      <c r="D359" t="s">
        <v>152</v>
      </c>
      <c r="E359" t="s">
        <v>1460</v>
      </c>
      <c r="F359" t="s">
        <v>1461</v>
      </c>
      <c r="G359" t="s">
        <v>1462</v>
      </c>
      <c r="H359" t="s">
        <v>173</v>
      </c>
      <c r="I359" t="s">
        <v>174</v>
      </c>
      <c r="J359" t="s">
        <v>653</v>
      </c>
      <c r="K359" t="s">
        <v>147</v>
      </c>
      <c r="L359" t="s">
        <v>147</v>
      </c>
      <c r="M359" t="s">
        <v>148</v>
      </c>
      <c r="N359" t="s">
        <v>654</v>
      </c>
      <c r="O359" t="s">
        <v>655</v>
      </c>
      <c r="P359" t="s">
        <v>656</v>
      </c>
      <c r="Q359">
        <v>44130</v>
      </c>
    </row>
    <row r="360">
      <c r="A360" t="str">
        <f>_xlfn.CONCAT(TBL_Sedes[[#This Row],[Ciudad]]," ",TBL_Sedes[[#This Row],[Nombre de la sede]])</f>
        <v xml:space="preserve">Sopó Subsede </v>
      </c>
      <c r="B360">
        <v>326</v>
      </c>
      <c r="C360">
        <v>95131051</v>
      </c>
      <c r="D360" t="s">
        <v>370</v>
      </c>
      <c r="E360" t="s">
        <v>1463</v>
      </c>
      <c r="F360" t="s">
        <v>658</v>
      </c>
      <c r="G360" t="s">
        <v>1464</v>
      </c>
      <c r="H360" t="s">
        <v>217</v>
      </c>
      <c r="I360" t="s">
        <v>174</v>
      </c>
      <c r="J360" t="s">
        <v>206</v>
      </c>
      <c r="K360" t="s">
        <v>345</v>
      </c>
      <c r="L360" t="s">
        <v>345</v>
      </c>
      <c r="M360" t="s">
        <v>660</v>
      </c>
      <c r="N360" t="s">
        <v>661</v>
      </c>
      <c r="O360" t="s">
        <v>662</v>
      </c>
      <c r="P360">
        <v>3105591968</v>
      </c>
      <c r="Q360">
        <v>18071</v>
      </c>
    </row>
    <row r="361">
      <c r="A361" t="str">
        <f>_xlfn.CONCAT(TBL_Sedes[[#This Row],[Ciudad]]," ",TBL_Sedes[[#This Row],[Nombre de la sede]])</f>
        <v xml:space="preserve">Tame Sede Tame</v>
      </c>
      <c r="B361">
        <v>168</v>
      </c>
      <c r="C361">
        <v>95301001</v>
      </c>
      <c r="D361" t="s">
        <v>162</v>
      </c>
      <c r="E361" t="s">
        <v>1465</v>
      </c>
      <c r="F361" t="s">
        <v>1466</v>
      </c>
      <c r="G361" t="s">
        <v>1467</v>
      </c>
      <c r="H361" t="s">
        <v>173</v>
      </c>
      <c r="I361" t="s">
        <v>174</v>
      </c>
      <c r="J361" t="s">
        <v>165</v>
      </c>
      <c r="K361" t="s">
        <v>147</v>
      </c>
      <c r="L361" t="s">
        <v>147</v>
      </c>
      <c r="M361" t="s">
        <v>148</v>
      </c>
      <c r="N361" t="s">
        <v>166</v>
      </c>
      <c r="O361" t="s">
        <v>167</v>
      </c>
      <c r="P361">
        <v>3144351804</v>
      </c>
      <c r="Q361">
        <v>74220</v>
      </c>
      <c r="R361" t="s">
        <v>151</v>
      </c>
      <c r="S361" t="s">
        <v>147</v>
      </c>
      <c r="T361" t="s">
        <v>147</v>
      </c>
    </row>
    <row r="362">
      <c r="A362" t="str">
        <f>_xlfn.CONCAT(TBL_Sedes[[#This Row],[Ciudad]]," ",TBL_Sedes[[#This Row],[Nombre de la sede]])</f>
        <v xml:space="preserve">Tenjo Sede Tenjo</v>
      </c>
      <c r="B362">
        <v>327</v>
      </c>
      <c r="C362">
        <v>95131053</v>
      </c>
      <c r="D362" t="s">
        <v>370</v>
      </c>
      <c r="E362" t="s">
        <v>1468</v>
      </c>
      <c r="F362" t="s">
        <v>1469</v>
      </c>
      <c r="G362" t="s">
        <v>1470</v>
      </c>
      <c r="H362" t="s">
        <v>217</v>
      </c>
      <c r="I362" t="s">
        <v>174</v>
      </c>
      <c r="J362" t="s">
        <v>206</v>
      </c>
      <c r="K362" t="s">
        <v>345</v>
      </c>
      <c r="L362" t="s">
        <v>345</v>
      </c>
      <c r="M362" t="s">
        <v>660</v>
      </c>
      <c r="N362" t="s">
        <v>661</v>
      </c>
      <c r="O362" t="s">
        <v>662</v>
      </c>
      <c r="P362">
        <v>3105591968</v>
      </c>
      <c r="Q362">
        <v>18071</v>
      </c>
    </row>
    <row r="363">
      <c r="A363" t="str">
        <f>_xlfn.CONCAT(TBL_Sedes[[#This Row],[Ciudad]]," ",TBL_Sedes[[#This Row],[Nombre de la sede]])</f>
        <v xml:space="preserve">Tocancipá Sede Tocancipá</v>
      </c>
      <c r="B363">
        <v>95</v>
      </c>
      <c r="C363">
        <v>95131002</v>
      </c>
      <c r="D363" t="s">
        <v>370</v>
      </c>
      <c r="E363" t="s">
        <v>1471</v>
      </c>
      <c r="F363" t="s">
        <v>1472</v>
      </c>
      <c r="G363" t="s">
        <v>1473</v>
      </c>
      <c r="H363" t="s">
        <v>173</v>
      </c>
      <c r="I363" t="s">
        <v>174</v>
      </c>
      <c r="J363" t="s">
        <v>206</v>
      </c>
      <c r="K363" t="s">
        <v>345</v>
      </c>
      <c r="L363" t="s">
        <v>345</v>
      </c>
      <c r="M363" t="s">
        <v>148</v>
      </c>
      <c r="N363" t="s">
        <v>500</v>
      </c>
      <c r="O363" t="s">
        <v>501</v>
      </c>
      <c r="P363" t="s">
        <v>502</v>
      </c>
      <c r="Q363">
        <v>18071</v>
      </c>
    </row>
    <row r="364">
      <c r="A364" t="str">
        <f>_xlfn.CONCAT(TBL_Sedes[[#This Row],[Ciudad]]," ",TBL_Sedes[[#This Row],[Nombre de la sede]])</f>
        <v xml:space="preserve">Tuluá Centro Latinoamericano De Especies Menores</v>
      </c>
      <c r="B364">
        <v>165</v>
      </c>
      <c r="C364">
        <v>91251000</v>
      </c>
      <c r="D364" t="s">
        <v>487</v>
      </c>
      <c r="E364" t="s">
        <v>1474</v>
      </c>
      <c r="F364" t="s">
        <v>1475</v>
      </c>
      <c r="G364" t="s">
        <v>1476</v>
      </c>
      <c r="H364" t="s">
        <v>144</v>
      </c>
      <c r="I364" t="s">
        <v>145</v>
      </c>
      <c r="J364" t="s">
        <v>1477</v>
      </c>
      <c r="K364" t="s">
        <v>147</v>
      </c>
      <c r="L364" t="s">
        <v>147</v>
      </c>
      <c r="M364" t="s">
        <v>360</v>
      </c>
      <c r="N364" t="s">
        <v>1478</v>
      </c>
      <c r="O364" t="s">
        <v>1479</v>
      </c>
      <c r="P364" t="s">
        <v>1480</v>
      </c>
      <c r="Q364">
        <v>23875</v>
      </c>
    </row>
    <row r="365">
      <c r="A365" t="str">
        <f>_xlfn.CONCAT(TBL_Sedes[[#This Row],[Ciudad]]," ",TBL_Sedes[[#This Row],[Nombre de la sede]])</f>
        <v xml:space="preserve">Tuluá Sena Clem - Sagrado Corazón De Jesus</v>
      </c>
      <c r="B365">
        <v>315</v>
      </c>
      <c r="C365">
        <v>91251002</v>
      </c>
      <c r="D365" t="s">
        <v>487</v>
      </c>
      <c r="E365" t="s">
        <v>1474</v>
      </c>
      <c r="F365" t="s">
        <v>1481</v>
      </c>
      <c r="G365" t="s">
        <v>1482</v>
      </c>
      <c r="H365" t="s">
        <v>173</v>
      </c>
      <c r="I365" t="s">
        <v>174</v>
      </c>
      <c r="J365" t="s">
        <v>225</v>
      </c>
      <c r="K365" t="s">
        <v>147</v>
      </c>
      <c r="L365" t="s">
        <v>147</v>
      </c>
      <c r="M365" t="s">
        <v>227</v>
      </c>
      <c r="N365" t="s">
        <v>1478</v>
      </c>
      <c r="O365" t="s">
        <v>1479</v>
      </c>
      <c r="P365" t="s">
        <v>1480</v>
      </c>
      <c r="Q365">
        <v>23875</v>
      </c>
      <c r="R365" t="s">
        <v>168</v>
      </c>
      <c r="S365" t="s">
        <v>1483</v>
      </c>
      <c r="T365" t="s">
        <v>170</v>
      </c>
    </row>
    <row r="366">
      <c r="A366" t="str">
        <f>_xlfn.CONCAT(TBL_Sedes[[#This Row],[Ciudad]]," ",TBL_Sedes[[#This Row],[Nombre de la sede]])</f>
        <v xml:space="preserve">Tuluá Spe Tuluá</v>
      </c>
      <c r="B366">
        <v>166</v>
      </c>
      <c r="C366">
        <v>91251001</v>
      </c>
      <c r="D366" t="s">
        <v>487</v>
      </c>
      <c r="E366" t="s">
        <v>1474</v>
      </c>
      <c r="F366" t="s">
        <v>1484</v>
      </c>
      <c r="G366" t="s">
        <v>1485</v>
      </c>
      <c r="H366" t="s">
        <v>173</v>
      </c>
      <c r="I366" t="s">
        <v>145</v>
      </c>
      <c r="J366" t="s">
        <v>165</v>
      </c>
      <c r="K366" t="s">
        <v>1486</v>
      </c>
      <c r="L366" t="s">
        <v>147</v>
      </c>
      <c r="M366" t="s">
        <v>148</v>
      </c>
      <c r="N366" t="s">
        <v>1478</v>
      </c>
      <c r="O366" t="s">
        <v>1479</v>
      </c>
      <c r="P366" t="s">
        <v>1480</v>
      </c>
      <c r="Q366">
        <v>23875</v>
      </c>
    </row>
    <row r="367">
      <c r="A367" t="str">
        <f>_xlfn.CONCAT(TBL_Sedes[[#This Row],[Ciudad]]," ",TBL_Sedes[[#This Row],[Nombre de la sede]])</f>
        <v xml:space="preserve">Tuluá Subsede</v>
      </c>
      <c r="B367" t="s">
        <v>1487</v>
      </c>
      <c r="C367">
        <v>91251050</v>
      </c>
      <c r="D367" t="s">
        <v>487</v>
      </c>
      <c r="E367" t="s">
        <v>1474</v>
      </c>
      <c r="F367" t="s">
        <v>465</v>
      </c>
      <c r="G367" t="s">
        <v>1488</v>
      </c>
      <c r="H367" t="s">
        <v>217</v>
      </c>
      <c r="I367" t="s">
        <v>174</v>
      </c>
      <c r="J367" t="s">
        <v>1489</v>
      </c>
      <c r="K367" t="s">
        <v>147</v>
      </c>
      <c r="L367" t="s">
        <v>147</v>
      </c>
      <c r="M367" t="s">
        <v>360</v>
      </c>
      <c r="N367" t="s">
        <v>1478</v>
      </c>
      <c r="O367" t="s">
        <v>1479</v>
      </c>
      <c r="P367">
        <v>3113157256</v>
      </c>
      <c r="Q367">
        <v>23875</v>
      </c>
    </row>
    <row r="368">
      <c r="A368" t="str">
        <f>_xlfn.CONCAT(TBL_Sedes[[#This Row],[Ciudad]]," ",TBL_Sedes[[#This Row],[Nombre de la sede]])</f>
        <v xml:space="preserve">Tuluá Subsede</v>
      </c>
      <c r="B368" t="s">
        <v>1490</v>
      </c>
      <c r="C368">
        <v>91251051</v>
      </c>
      <c r="D368" t="s">
        <v>487</v>
      </c>
      <c r="E368" t="s">
        <v>1474</v>
      </c>
      <c r="F368" t="s">
        <v>465</v>
      </c>
      <c r="G368" t="s">
        <v>1491</v>
      </c>
      <c r="H368" t="s">
        <v>217</v>
      </c>
      <c r="I368" t="s">
        <v>174</v>
      </c>
      <c r="J368" t="s">
        <v>1489</v>
      </c>
      <c r="K368" t="s">
        <v>147</v>
      </c>
      <c r="L368" t="s">
        <v>147</v>
      </c>
      <c r="M368" t="s">
        <v>360</v>
      </c>
      <c r="N368" t="s">
        <v>1478</v>
      </c>
      <c r="O368" t="s">
        <v>1479</v>
      </c>
      <c r="P368">
        <v>3113157256</v>
      </c>
      <c r="Q368">
        <v>23875</v>
      </c>
    </row>
    <row r="369">
      <c r="A369" t="str">
        <f>_xlfn.CONCAT(TBL_Sedes[[#This Row],[Ciudad]]," ",TBL_Sedes[[#This Row],[Nombre de la sede]])</f>
        <v xml:space="preserve">Tuluá Subsede</v>
      </c>
      <c r="B369" t="s">
        <v>1492</v>
      </c>
      <c r="C369">
        <v>91251052</v>
      </c>
      <c r="D369" t="s">
        <v>487</v>
      </c>
      <c r="E369" t="s">
        <v>1474</v>
      </c>
      <c r="F369" t="s">
        <v>465</v>
      </c>
      <c r="G369" t="s">
        <v>1493</v>
      </c>
      <c r="H369" t="s">
        <v>217</v>
      </c>
      <c r="I369" t="s">
        <v>174</v>
      </c>
      <c r="J369" t="s">
        <v>1494</v>
      </c>
      <c r="K369" t="s">
        <v>147</v>
      </c>
      <c r="L369" t="s">
        <v>147</v>
      </c>
      <c r="M369" t="s">
        <v>360</v>
      </c>
      <c r="N369" t="s">
        <v>1478</v>
      </c>
      <c r="O369" t="s">
        <v>1479</v>
      </c>
      <c r="P369">
        <v>3113157256</v>
      </c>
      <c r="Q369">
        <v>23875</v>
      </c>
    </row>
    <row r="370">
      <c r="A370" t="str">
        <f>_xlfn.CONCAT(TBL_Sedes[[#This Row],[Ciudad]]," ",TBL_Sedes[[#This Row],[Nombre de la sede]])</f>
        <v xml:space="preserve">Tumaco Centro Agroindustrial Y Pesquero De La Costa Pacífica</v>
      </c>
      <c r="B370">
        <v>188</v>
      </c>
      <c r="C370">
        <v>95351000</v>
      </c>
      <c r="D370" t="s">
        <v>871</v>
      </c>
      <c r="E370" t="s">
        <v>1495</v>
      </c>
      <c r="F370" t="s">
        <v>1496</v>
      </c>
      <c r="G370" t="s">
        <v>1497</v>
      </c>
      <c r="H370" t="s">
        <v>144</v>
      </c>
      <c r="I370" t="s">
        <v>145</v>
      </c>
      <c r="J370" t="s">
        <v>146</v>
      </c>
      <c r="K370" t="s">
        <v>147</v>
      </c>
      <c r="L370" t="s">
        <v>147</v>
      </c>
      <c r="M370" t="s">
        <v>148</v>
      </c>
      <c r="N370" t="s">
        <v>1498</v>
      </c>
      <c r="O370" t="s">
        <v>1499</v>
      </c>
      <c r="P370" t="s">
        <v>1500</v>
      </c>
      <c r="Q370">
        <v>74465</v>
      </c>
    </row>
    <row r="371">
      <c r="A371" t="str">
        <f>_xlfn.CONCAT(TBL_Sedes[[#This Row],[Ciudad]]," ",TBL_Sedes[[#This Row],[Nombre de la sede]])</f>
        <v xml:space="preserve">Tumaco Sede Muelle</v>
      </c>
      <c r="B371">
        <v>124</v>
      </c>
      <c r="C371">
        <v>95351001</v>
      </c>
      <c r="D371" t="s">
        <v>871</v>
      </c>
      <c r="E371" t="s">
        <v>1495</v>
      </c>
      <c r="F371" t="s">
        <v>1501</v>
      </c>
      <c r="G371" t="s">
        <v>1502</v>
      </c>
      <c r="H371" t="s">
        <v>173</v>
      </c>
      <c r="I371" t="s">
        <v>174</v>
      </c>
      <c r="J371" t="s">
        <v>146</v>
      </c>
      <c r="K371" t="s">
        <v>147</v>
      </c>
      <c r="L371" t="s">
        <v>147</v>
      </c>
      <c r="M371" t="s">
        <v>148</v>
      </c>
      <c r="N371" t="s">
        <v>1498</v>
      </c>
      <c r="O371" t="s">
        <v>1499</v>
      </c>
      <c r="P371" t="s">
        <v>1500</v>
      </c>
    </row>
    <row r="372">
      <c r="A372" t="str">
        <f>_xlfn.CONCAT(TBL_Sedes[[#This Row],[Ciudad]]," ",TBL_Sedes[[#This Row],[Nombre de la sede]])</f>
        <v xml:space="preserve">Tumaco Sede Obando</v>
      </c>
      <c r="B372">
        <v>234</v>
      </c>
      <c r="C372">
        <v>95351002</v>
      </c>
      <c r="D372" t="s">
        <v>871</v>
      </c>
      <c r="E372" t="s">
        <v>1495</v>
      </c>
      <c r="F372" t="s">
        <v>1503</v>
      </c>
      <c r="G372" t="s">
        <v>1504</v>
      </c>
      <c r="H372" t="s">
        <v>173</v>
      </c>
      <c r="I372" t="s">
        <v>145</v>
      </c>
      <c r="J372" t="s">
        <v>200</v>
      </c>
      <c r="K372" t="s">
        <v>218</v>
      </c>
      <c r="L372" t="s">
        <v>147</v>
      </c>
      <c r="M372" t="s">
        <v>360</v>
      </c>
      <c r="N372" t="s">
        <v>1505</v>
      </c>
      <c r="O372" t="s">
        <v>1506</v>
      </c>
      <c r="P372">
        <v>3187726210</v>
      </c>
      <c r="Q372">
        <v>72300</v>
      </c>
    </row>
    <row r="373">
      <c r="A373" t="str">
        <f>_xlfn.CONCAT(TBL_Sedes[[#This Row],[Ciudad]]," ",TBL_Sedes[[#This Row],[Nombre de la sede]])</f>
        <v xml:space="preserve">Tunja Centro De Gestión Administrativa Y Fortalecimiento Empresarial</v>
      </c>
      <c r="B373">
        <v>56</v>
      </c>
      <c r="C373">
        <v>93051000</v>
      </c>
      <c r="D373" t="s">
        <v>626</v>
      </c>
      <c r="E373" t="s">
        <v>1507</v>
      </c>
      <c r="F373" t="s">
        <v>1508</v>
      </c>
      <c r="G373" t="s">
        <v>1509</v>
      </c>
      <c r="H373" t="s">
        <v>144</v>
      </c>
      <c r="I373" t="s">
        <v>145</v>
      </c>
      <c r="J373" t="s">
        <v>146</v>
      </c>
      <c r="K373" t="s">
        <v>147</v>
      </c>
      <c r="L373" t="s">
        <v>147</v>
      </c>
      <c r="M373" t="s">
        <v>148</v>
      </c>
      <c r="N373" t="s">
        <v>1115</v>
      </c>
      <c r="O373" t="s">
        <v>1116</v>
      </c>
      <c r="P373" t="s">
        <v>1117</v>
      </c>
      <c r="Q373">
        <v>82755</v>
      </c>
    </row>
    <row r="374">
      <c r="A374" t="str">
        <f>_xlfn.CONCAT(TBL_Sedes[[#This Row],[Ciudad]]," ",TBL_Sedes[[#This Row],[Nombre de la sede]])</f>
        <v xml:space="preserve">Tunja Convento Santa Clara</v>
      </c>
      <c r="B374">
        <v>296</v>
      </c>
      <c r="C374">
        <v>93051004</v>
      </c>
      <c r="D374" t="s">
        <v>626</v>
      </c>
      <c r="E374" t="s">
        <v>1507</v>
      </c>
      <c r="F374" t="s">
        <v>1510</v>
      </c>
      <c r="G374" t="s">
        <v>1511</v>
      </c>
      <c r="H374" t="s">
        <v>173</v>
      </c>
      <c r="I374" t="s">
        <v>174</v>
      </c>
      <c r="J374" t="s">
        <v>278</v>
      </c>
      <c r="K374" t="s">
        <v>147</v>
      </c>
      <c r="L374" t="s">
        <v>147</v>
      </c>
      <c r="M374" t="s">
        <v>148</v>
      </c>
      <c r="N374" t="s">
        <v>1115</v>
      </c>
      <c r="O374" t="s">
        <v>1116</v>
      </c>
      <c r="P374" t="s">
        <v>1117</v>
      </c>
      <c r="Q374">
        <v>82755</v>
      </c>
    </row>
    <row r="375">
      <c r="A375" t="str">
        <f>_xlfn.CONCAT(TBL_Sedes[[#This Row],[Ciudad]]," ",TBL_Sedes[[#This Row],[Nombre de la sede]])</f>
        <v xml:space="preserve">Tunja Escuela Gastronómica De Tunja</v>
      </c>
      <c r="B375">
        <v>210</v>
      </c>
      <c r="C375">
        <v>93051003</v>
      </c>
      <c r="D375" t="s">
        <v>626</v>
      </c>
      <c r="E375" t="s">
        <v>1507</v>
      </c>
      <c r="F375" t="s">
        <v>1512</v>
      </c>
      <c r="G375" t="s">
        <v>1513</v>
      </c>
      <c r="H375" t="s">
        <v>173</v>
      </c>
      <c r="I375" t="s">
        <v>174</v>
      </c>
      <c r="J375" t="s">
        <v>259</v>
      </c>
      <c r="K375" t="s">
        <v>147</v>
      </c>
      <c r="L375" t="s">
        <v>147</v>
      </c>
      <c r="M375" t="s">
        <v>148</v>
      </c>
      <c r="N375" t="s">
        <v>1115</v>
      </c>
      <c r="O375" t="s">
        <v>1116</v>
      </c>
      <c r="P375" t="s">
        <v>1117</v>
      </c>
      <c r="Q375">
        <v>82755</v>
      </c>
      <c r="R375" t="s">
        <v>338</v>
      </c>
    </row>
    <row r="376">
      <c r="A376" t="str">
        <f>_xlfn.CONCAT(TBL_Sedes[[#This Row],[Ciudad]]," ",TBL_Sedes[[#This Row],[Nombre de la sede]])</f>
        <v xml:space="preserve">Tunja SEMINARIO MAYOR ITEDRIS</v>
      </c>
      <c r="B376">
        <v>369</v>
      </c>
      <c r="C376">
        <v>93051005</v>
      </c>
      <c r="D376" t="s">
        <v>626</v>
      </c>
      <c r="E376" t="s">
        <v>1507</v>
      </c>
      <c r="F376" t="s">
        <v>1514</v>
      </c>
      <c r="G376" t="s">
        <v>1515</v>
      </c>
      <c r="H376" t="s">
        <v>366</v>
      </c>
      <c r="I376" t="s">
        <v>174</v>
      </c>
      <c r="J376" t="s">
        <v>1516</v>
      </c>
      <c r="K376" t="s">
        <v>147</v>
      </c>
      <c r="L376" t="s">
        <v>147</v>
      </c>
      <c r="M376" t="s">
        <v>148</v>
      </c>
      <c r="N376" t="s">
        <v>1517</v>
      </c>
      <c r="O376" t="s">
        <v>1116</v>
      </c>
      <c r="P376">
        <v>3112603155</v>
      </c>
      <c r="R376" t="s">
        <v>168</v>
      </c>
      <c r="S376" t="s">
        <v>1518</v>
      </c>
      <c r="T376" t="s">
        <v>170</v>
      </c>
    </row>
    <row r="377">
      <c r="A377" t="str">
        <f>_xlfn.CONCAT(TBL_Sedes[[#This Row],[Ciudad]]," ",TBL_Sedes[[#This Row],[Nombre de la sede]])</f>
        <v xml:space="preserve">Tunja Servicio Público Empleo Tunja</v>
      </c>
      <c r="B377">
        <v>58</v>
      </c>
      <c r="C377">
        <v>93051002</v>
      </c>
      <c r="D377" t="s">
        <v>626</v>
      </c>
      <c r="E377" t="s">
        <v>1507</v>
      </c>
      <c r="F377" t="s">
        <v>1519</v>
      </c>
      <c r="G377" t="s">
        <v>1520</v>
      </c>
      <c r="H377" t="s">
        <v>173</v>
      </c>
      <c r="I377" t="s">
        <v>174</v>
      </c>
      <c r="J377" t="s">
        <v>259</v>
      </c>
      <c r="K377" t="s">
        <v>147</v>
      </c>
      <c r="L377" t="s">
        <v>147</v>
      </c>
      <c r="M377" t="s">
        <v>148</v>
      </c>
      <c r="N377" t="s">
        <v>1115</v>
      </c>
      <c r="O377" t="s">
        <v>1116</v>
      </c>
      <c r="P377" t="s">
        <v>1117</v>
      </c>
      <c r="Q377">
        <v>82755</v>
      </c>
    </row>
    <row r="378">
      <c r="A378" t="str">
        <f>_xlfn.CONCAT(TBL_Sedes[[#This Row],[Ciudad]]," ",TBL_Sedes[[#This Row],[Nombre de la sede]])</f>
        <v xml:space="preserve">Tuquerres Tecnoacademia Del Centro Surcolombiano De Logística Internacional</v>
      </c>
      <c r="B378">
        <v>291</v>
      </c>
      <c r="C378">
        <v>95341002</v>
      </c>
      <c r="D378" t="s">
        <v>871</v>
      </c>
      <c r="E378" t="s">
        <v>1521</v>
      </c>
      <c r="F378" t="s">
        <v>1522</v>
      </c>
      <c r="G378" t="s">
        <v>1523</v>
      </c>
      <c r="H378" t="s">
        <v>173</v>
      </c>
      <c r="I378" t="s">
        <v>174</v>
      </c>
      <c r="J378" t="s">
        <v>454</v>
      </c>
      <c r="K378" t="s">
        <v>147</v>
      </c>
      <c r="L378" t="s">
        <v>147</v>
      </c>
      <c r="M378" t="s">
        <v>148</v>
      </c>
      <c r="N378" t="s">
        <v>876</v>
      </c>
      <c r="O378" t="s">
        <v>877</v>
      </c>
      <c r="P378" t="s">
        <v>878</v>
      </c>
      <c r="Q378">
        <v>72200</v>
      </c>
      <c r="R378" t="s">
        <v>151</v>
      </c>
      <c r="S378" t="s">
        <v>147</v>
      </c>
      <c r="T378" t="s">
        <v>147</v>
      </c>
    </row>
    <row r="379">
      <c r="A379" t="str">
        <f>_xlfn.CONCAT(TBL_Sedes[[#This Row],[Ciudad]]," ",TBL_Sedes[[#This Row],[Nombre de la sede]])</f>
        <v xml:space="preserve">Ubaté Villa De San Diego</v>
      </c>
      <c r="B379">
        <v>328</v>
      </c>
      <c r="C379">
        <v>95131054</v>
      </c>
      <c r="D379" t="s">
        <v>370</v>
      </c>
      <c r="E379" t="s">
        <v>1524</v>
      </c>
      <c r="F379" t="s">
        <v>1525</v>
      </c>
      <c r="G379" t="s">
        <v>1526</v>
      </c>
      <c r="H379" t="s">
        <v>217</v>
      </c>
      <c r="I379" t="s">
        <v>174</v>
      </c>
      <c r="J379" t="s">
        <v>206</v>
      </c>
      <c r="K379" t="s">
        <v>345</v>
      </c>
      <c r="L379" t="s">
        <v>345</v>
      </c>
      <c r="M379" t="s">
        <v>660</v>
      </c>
      <c r="N379" t="s">
        <v>661</v>
      </c>
      <c r="O379" t="s">
        <v>662</v>
      </c>
      <c r="P379">
        <v>3105591968</v>
      </c>
      <c r="Q379">
        <v>18071</v>
      </c>
      <c r="R379" t="s">
        <v>168</v>
      </c>
      <c r="S379" t="s">
        <v>1527</v>
      </c>
      <c r="T379" t="s">
        <v>170</v>
      </c>
    </row>
    <row r="380">
      <c r="A380" t="str">
        <f>_xlfn.CONCAT(TBL_Sedes[[#This Row],[Ciudad]]," ",TBL_Sedes[[#This Row],[Nombre de la sede]])</f>
        <v xml:space="preserve">Valledupar Centro Biotecnológico Del Caribe</v>
      </c>
      <c r="B380">
        <v>73</v>
      </c>
      <c r="C380">
        <v>91141000</v>
      </c>
      <c r="D380" t="s">
        <v>140</v>
      </c>
      <c r="E380" t="s">
        <v>1528</v>
      </c>
      <c r="F380" t="s">
        <v>1529</v>
      </c>
      <c r="G380" t="s">
        <v>1530</v>
      </c>
      <c r="H380" t="s">
        <v>144</v>
      </c>
      <c r="I380" t="s">
        <v>145</v>
      </c>
      <c r="J380" t="s">
        <v>146</v>
      </c>
      <c r="K380" t="s">
        <v>147</v>
      </c>
      <c r="L380" t="s">
        <v>147</v>
      </c>
      <c r="M380" t="s">
        <v>148</v>
      </c>
      <c r="N380" t="s">
        <v>432</v>
      </c>
      <c r="O380" t="s">
        <v>433</v>
      </c>
      <c r="P380">
        <v>3157412119</v>
      </c>
      <c r="Q380">
        <v>52914</v>
      </c>
      <c r="R380" t="s">
        <v>151</v>
      </c>
      <c r="S380" t="s">
        <v>147</v>
      </c>
      <c r="T380" t="s">
        <v>147</v>
      </c>
    </row>
    <row r="381">
      <c r="A381" t="str">
        <f>_xlfn.CONCAT(TBL_Sedes[[#This Row],[Ciudad]]," ",TBL_Sedes[[#This Row],[Nombre de la sede]])</f>
        <v xml:space="preserve">Valledupar Centro De Operación Y Mantenimiento Minero</v>
      </c>
      <c r="B381" t="s">
        <v>1531</v>
      </c>
      <c r="C381">
        <v>95211000</v>
      </c>
      <c r="D381" t="s">
        <v>140</v>
      </c>
      <c r="E381" t="s">
        <v>1528</v>
      </c>
      <c r="F381" t="s">
        <v>1532</v>
      </c>
      <c r="G381" t="s">
        <v>1533</v>
      </c>
      <c r="H381" t="s">
        <v>144</v>
      </c>
      <c r="I381" t="s">
        <v>156</v>
      </c>
      <c r="J381" t="s">
        <v>705</v>
      </c>
      <c r="K381" t="s">
        <v>147</v>
      </c>
      <c r="L381" t="s">
        <v>147</v>
      </c>
      <c r="M381" t="s">
        <v>148</v>
      </c>
      <c r="N381" t="s">
        <v>432</v>
      </c>
      <c r="O381" t="s">
        <v>433</v>
      </c>
      <c r="P381">
        <v>3157412119</v>
      </c>
      <c r="Q381">
        <v>52914</v>
      </c>
      <c r="R381" t="s">
        <v>151</v>
      </c>
      <c r="S381" t="s">
        <v>147</v>
      </c>
      <c r="T381" t="s">
        <v>147</v>
      </c>
    </row>
    <row r="382">
      <c r="A382" t="str">
        <f>_xlfn.CONCAT(TBL_Sedes[[#This Row],[Ciudad]]," ",TBL_Sedes[[#This Row],[Nombre de la sede]])</f>
        <v xml:space="preserve">Valledupar Regional Cesar</v>
      </c>
      <c r="B382">
        <v>70</v>
      </c>
      <c r="C382">
        <v>10102000</v>
      </c>
      <c r="D382" t="s">
        <v>140</v>
      </c>
      <c r="E382" t="s">
        <v>1528</v>
      </c>
      <c r="F382" t="s">
        <v>1534</v>
      </c>
      <c r="G382" t="s">
        <v>1533</v>
      </c>
      <c r="H382" t="s">
        <v>122</v>
      </c>
      <c r="I382" t="s">
        <v>156</v>
      </c>
      <c r="J382" t="s">
        <v>513</v>
      </c>
      <c r="K382" t="s">
        <v>147</v>
      </c>
      <c r="L382" t="s">
        <v>147</v>
      </c>
      <c r="M382" t="s">
        <v>194</v>
      </c>
      <c r="N382" t="s">
        <v>432</v>
      </c>
      <c r="O382" t="s">
        <v>433</v>
      </c>
      <c r="P382">
        <v>3157412119</v>
      </c>
      <c r="Q382">
        <v>52914</v>
      </c>
    </row>
    <row r="383">
      <c r="A383" t="str">
        <f>_xlfn.CONCAT(TBL_Sedes[[#This Row],[Ciudad]]," ",TBL_Sedes[[#This Row],[Nombre de la sede]])</f>
        <v xml:space="preserve">Valledupar Sede Centro De Desarrollo Vecinal-Cdv</v>
      </c>
      <c r="B383">
        <v>72</v>
      </c>
      <c r="C383">
        <v>95211002</v>
      </c>
      <c r="D383" t="s">
        <v>140</v>
      </c>
      <c r="E383" t="s">
        <v>1528</v>
      </c>
      <c r="F383" t="s">
        <v>1535</v>
      </c>
      <c r="G383" t="s">
        <v>1536</v>
      </c>
      <c r="H383" t="s">
        <v>173</v>
      </c>
      <c r="I383" t="s">
        <v>174</v>
      </c>
      <c r="J383" t="s">
        <v>705</v>
      </c>
      <c r="K383" t="s">
        <v>147</v>
      </c>
      <c r="L383" t="s">
        <v>147</v>
      </c>
      <c r="M383" t="s">
        <v>148</v>
      </c>
      <c r="N383" t="s">
        <v>432</v>
      </c>
      <c r="O383" t="s">
        <v>433</v>
      </c>
      <c r="P383">
        <v>3157412119</v>
      </c>
      <c r="Q383">
        <v>52914</v>
      </c>
      <c r="R383" t="s">
        <v>380</v>
      </c>
      <c r="S383" t="s">
        <v>147</v>
      </c>
      <c r="T383" t="s">
        <v>147</v>
      </c>
    </row>
    <row r="384">
      <c r="A384" t="str">
        <f>_xlfn.CONCAT(TBL_Sedes[[#This Row],[Ciudad]]," ",TBL_Sedes[[#This Row],[Nombre de la sede]])</f>
        <v xml:space="preserve">Valledupar Sede Economía Naranja</v>
      </c>
      <c r="B384">
        <v>345</v>
      </c>
      <c r="C384">
        <v>95211005</v>
      </c>
      <c r="D384" t="s">
        <v>140</v>
      </c>
      <c r="E384" t="s">
        <v>1528</v>
      </c>
      <c r="F384" t="s">
        <v>1537</v>
      </c>
      <c r="G384" t="s">
        <v>1538</v>
      </c>
      <c r="H384" t="s">
        <v>224</v>
      </c>
      <c r="I384" t="s">
        <v>174</v>
      </c>
      <c r="J384" t="s">
        <v>415</v>
      </c>
      <c r="K384" t="s">
        <v>147</v>
      </c>
      <c r="L384" t="s">
        <v>147</v>
      </c>
      <c r="M384" t="s">
        <v>148</v>
      </c>
      <c r="N384" t="s">
        <v>432</v>
      </c>
      <c r="O384" t="s">
        <v>433</v>
      </c>
      <c r="P384">
        <v>3157412119</v>
      </c>
      <c r="Q384">
        <v>52914</v>
      </c>
    </row>
    <row r="385">
      <c r="A385" t="str">
        <f>_xlfn.CONCAT(TBL_Sedes[[#This Row],[Ciudad]]," ",TBL_Sedes[[#This Row],[Nombre de la sede]])</f>
        <v xml:space="preserve">Vélez Centro De Gestión Agroempresarial Del Oriente</v>
      </c>
      <c r="B385">
        <v>148</v>
      </c>
      <c r="C385">
        <v>95461000</v>
      </c>
      <c r="D385" t="s">
        <v>230</v>
      </c>
      <c r="E385" t="s">
        <v>1539</v>
      </c>
      <c r="F385" t="s">
        <v>1540</v>
      </c>
      <c r="G385" t="s">
        <v>1541</v>
      </c>
      <c r="H385" t="s">
        <v>144</v>
      </c>
      <c r="I385" t="s">
        <v>145</v>
      </c>
      <c r="J385" t="s">
        <v>1203</v>
      </c>
      <c r="K385" t="s">
        <v>147</v>
      </c>
      <c r="L385" t="s">
        <v>147</v>
      </c>
      <c r="M385" t="s">
        <v>148</v>
      </c>
      <c r="N385" t="s">
        <v>643</v>
      </c>
      <c r="O385" t="s">
        <v>644</v>
      </c>
      <c r="P385">
        <v>3112422550</v>
      </c>
      <c r="Q385">
        <v>74157</v>
      </c>
      <c r="R385" t="s">
        <v>151</v>
      </c>
      <c r="S385" t="s">
        <v>147</v>
      </c>
      <c r="T385" t="s">
        <v>147</v>
      </c>
    </row>
    <row r="386">
      <c r="A386" t="str">
        <f>_xlfn.CONCAT(TBL_Sedes[[#This Row],[Ciudad]]," ",TBL_Sedes[[#This Row],[Nombre de la sede]])</f>
        <v xml:space="preserve">Vélez Sede Finca Villa Luz</v>
      </c>
      <c r="B386">
        <v>203</v>
      </c>
      <c r="C386">
        <v>95461001</v>
      </c>
      <c r="D386" t="s">
        <v>230</v>
      </c>
      <c r="E386" t="s">
        <v>1539</v>
      </c>
      <c r="F386" t="s">
        <v>1542</v>
      </c>
      <c r="G386" t="s">
        <v>1543</v>
      </c>
      <c r="H386" t="s">
        <v>173</v>
      </c>
      <c r="I386" t="s">
        <v>174</v>
      </c>
      <c r="J386" t="s">
        <v>193</v>
      </c>
      <c r="K386" t="s">
        <v>147</v>
      </c>
      <c r="L386" t="s">
        <v>147</v>
      </c>
      <c r="M386" t="s">
        <v>148</v>
      </c>
      <c r="N386" t="s">
        <v>643</v>
      </c>
      <c r="O386" t="s">
        <v>644</v>
      </c>
      <c r="P386">
        <v>3112422550</v>
      </c>
      <c r="Q386">
        <v>74157</v>
      </c>
    </row>
    <row r="387">
      <c r="A387" t="str">
        <f>_xlfn.CONCAT(TBL_Sedes[[#This Row],[Ciudad]]," ",TBL_Sedes[[#This Row],[Nombre de la sede]])</f>
        <v xml:space="preserve">Villapinzón Sede - Villapinzón</v>
      </c>
      <c r="B387">
        <v>329</v>
      </c>
      <c r="C387">
        <v>95131055</v>
      </c>
      <c r="D387" t="s">
        <v>370</v>
      </c>
      <c r="E387" t="s">
        <v>1544</v>
      </c>
      <c r="F387" t="s">
        <v>1545</v>
      </c>
      <c r="G387" t="s">
        <v>1546</v>
      </c>
      <c r="H387" t="s">
        <v>217</v>
      </c>
      <c r="I387" t="s">
        <v>174</v>
      </c>
      <c r="J387" t="s">
        <v>206</v>
      </c>
      <c r="K387" t="s">
        <v>345</v>
      </c>
      <c r="L387" t="s">
        <v>345</v>
      </c>
      <c r="M387" t="s">
        <v>660</v>
      </c>
      <c r="N387" t="s">
        <v>661</v>
      </c>
      <c r="O387" t="s">
        <v>662</v>
      </c>
      <c r="P387">
        <v>3105591968</v>
      </c>
      <c r="Q387">
        <v>18071</v>
      </c>
    </row>
    <row r="388">
      <c r="A388" t="str">
        <f>_xlfn.CONCAT(TBL_Sedes[[#This Row],[Ciudad]]," ",TBL_Sedes[[#This Row],[Nombre de la sede]])</f>
        <v xml:space="preserve">Villavicencio Centro De Industria Y Servicios Del Meta</v>
      </c>
      <c r="B388" t="s">
        <v>1547</v>
      </c>
      <c r="C388">
        <v>95321000</v>
      </c>
      <c r="D388" t="s">
        <v>831</v>
      </c>
      <c r="E388" t="s">
        <v>1548</v>
      </c>
      <c r="F388" t="s">
        <v>1549</v>
      </c>
      <c r="G388" t="s">
        <v>1550</v>
      </c>
      <c r="H388" t="s">
        <v>144</v>
      </c>
      <c r="I388" t="s">
        <v>156</v>
      </c>
      <c r="J388" t="s">
        <v>165</v>
      </c>
      <c r="K388" t="s">
        <v>808</v>
      </c>
      <c r="L388" t="s">
        <v>147</v>
      </c>
      <c r="M388" t="s">
        <v>148</v>
      </c>
      <c r="N388" t="s">
        <v>1280</v>
      </c>
      <c r="O388" t="s">
        <v>1281</v>
      </c>
      <c r="P388">
        <v>3115463028</v>
      </c>
      <c r="Q388">
        <v>84070</v>
      </c>
      <c r="R388" t="s">
        <v>151</v>
      </c>
      <c r="S388" t="s">
        <v>147</v>
      </c>
      <c r="T388" t="s">
        <v>147</v>
      </c>
    </row>
    <row r="389">
      <c r="A389" t="str">
        <f>_xlfn.CONCAT(TBL_Sedes[[#This Row],[Ciudad]]," ",TBL_Sedes[[#This Row],[Nombre de la sede]])</f>
        <v xml:space="preserve">Villavicencio Regional Meta</v>
      </c>
      <c r="B389">
        <v>115</v>
      </c>
      <c r="C389">
        <v>10105000</v>
      </c>
      <c r="D389" t="s">
        <v>831</v>
      </c>
      <c r="E389" t="s">
        <v>1548</v>
      </c>
      <c r="F389" t="s">
        <v>1551</v>
      </c>
      <c r="G389" t="s">
        <v>1550</v>
      </c>
      <c r="H389" t="s">
        <v>122</v>
      </c>
      <c r="I389" t="s">
        <v>156</v>
      </c>
      <c r="J389" t="s">
        <v>165</v>
      </c>
      <c r="K389" t="s">
        <v>808</v>
      </c>
      <c r="L389" t="s">
        <v>147</v>
      </c>
      <c r="M389" t="s">
        <v>148</v>
      </c>
      <c r="N389" t="s">
        <v>1280</v>
      </c>
      <c r="O389" t="s">
        <v>1281</v>
      </c>
      <c r="P389">
        <v>3115463028</v>
      </c>
      <c r="Q389">
        <v>84070</v>
      </c>
      <c r="R389" t="s">
        <v>151</v>
      </c>
      <c r="S389" t="s">
        <v>147</v>
      </c>
      <c r="T389" t="s">
        <v>147</v>
      </c>
    </row>
    <row r="390">
      <c r="A390" t="str">
        <f>_xlfn.CONCAT(TBL_Sedes[[#This Row],[Ciudad]]," ",TBL_Sedes[[#This Row],[Nombre de la sede]])</f>
        <v xml:space="preserve">Villavicencio Sede El Hachon</v>
      </c>
      <c r="B390">
        <v>117</v>
      </c>
      <c r="C390">
        <v>91171000</v>
      </c>
      <c r="D390" t="s">
        <v>831</v>
      </c>
      <c r="E390" t="s">
        <v>1548</v>
      </c>
      <c r="F390" t="s">
        <v>1552</v>
      </c>
      <c r="G390" t="s">
        <v>1553</v>
      </c>
      <c r="H390" t="s">
        <v>144</v>
      </c>
      <c r="I390" t="s">
        <v>145</v>
      </c>
      <c r="J390" t="s">
        <v>840</v>
      </c>
      <c r="K390" t="s">
        <v>147</v>
      </c>
      <c r="L390" t="s">
        <v>147</v>
      </c>
      <c r="M390" t="s">
        <v>148</v>
      </c>
      <c r="N390" t="s">
        <v>835</v>
      </c>
      <c r="O390" t="s">
        <v>836</v>
      </c>
      <c r="P390" t="s">
        <v>837</v>
      </c>
      <c r="Q390">
        <v>84180</v>
      </c>
      <c r="R390" t="s">
        <v>151</v>
      </c>
      <c r="S390" t="s">
        <v>147</v>
      </c>
      <c r="T390" t="s">
        <v>147</v>
      </c>
    </row>
    <row r="391">
      <c r="A391" t="str">
        <f>_xlfn.CONCAT(TBL_Sedes[[#This Row],[Ciudad]]," ",TBL_Sedes[[#This Row],[Nombre de la sede]])</f>
        <v xml:space="preserve">Villavicencio Sede El Taladro</v>
      </c>
      <c r="B391">
        <v>247</v>
      </c>
      <c r="C391">
        <v>95321001</v>
      </c>
      <c r="D391" t="s">
        <v>831</v>
      </c>
      <c r="E391" t="s">
        <v>1548</v>
      </c>
      <c r="F391" t="s">
        <v>1554</v>
      </c>
      <c r="G391" t="s">
        <v>1555</v>
      </c>
      <c r="H391" t="s">
        <v>173</v>
      </c>
      <c r="I391" t="s">
        <v>174</v>
      </c>
      <c r="J391" t="s">
        <v>259</v>
      </c>
      <c r="K391" t="s">
        <v>147</v>
      </c>
      <c r="L391" t="s">
        <v>147</v>
      </c>
      <c r="M391" t="s">
        <v>1556</v>
      </c>
      <c r="N391" t="s">
        <v>1280</v>
      </c>
      <c r="O391" t="s">
        <v>1281</v>
      </c>
      <c r="P391">
        <v>3115463028</v>
      </c>
      <c r="Q391">
        <v>84070</v>
      </c>
      <c r="R391" t="s">
        <v>151</v>
      </c>
      <c r="S391" t="s">
        <v>147</v>
      </c>
      <c r="T391" t="s">
        <v>147</v>
      </c>
    </row>
    <row r="392">
      <c r="A392" t="str">
        <f>_xlfn.CONCAT(TBL_Sedes[[#This Row],[Ciudad]]," ",TBL_Sedes[[#This Row],[Nombre de la sede]])</f>
        <v xml:space="preserve">Villavicencio Sede Popular</v>
      </c>
      <c r="B392">
        <v>358</v>
      </c>
      <c r="C392">
        <v>95321002</v>
      </c>
      <c r="D392" t="s">
        <v>831</v>
      </c>
      <c r="E392" t="s">
        <v>1548</v>
      </c>
      <c r="F392" t="s">
        <v>1557</v>
      </c>
      <c r="G392" t="s">
        <v>1558</v>
      </c>
      <c r="H392" t="s">
        <v>224</v>
      </c>
      <c r="I392" t="s">
        <v>174</v>
      </c>
      <c r="J392" t="s">
        <v>1559</v>
      </c>
      <c r="K392" t="s">
        <v>541</v>
      </c>
      <c r="L392" t="s">
        <v>147</v>
      </c>
      <c r="M392" t="s">
        <v>148</v>
      </c>
      <c r="N392" t="s">
        <v>1280</v>
      </c>
      <c r="O392" t="s">
        <v>1281</v>
      </c>
      <c r="P392">
        <v>3115463028</v>
      </c>
      <c r="Q392">
        <v>84070</v>
      </c>
    </row>
    <row r="393">
      <c r="A393" t="str">
        <f>_xlfn.CONCAT(TBL_Sedes[[#This Row],[Ciudad]]," ",TBL_Sedes[[#This Row],[Nombre de la sede]])</f>
        <v xml:space="preserve">Villeta Centro De Desarrollo Agroindustrial Y Empresarial</v>
      </c>
      <c r="B393">
        <v>79</v>
      </c>
      <c r="C393">
        <v>95091000</v>
      </c>
      <c r="D393" t="s">
        <v>370</v>
      </c>
      <c r="E393" t="s">
        <v>1560</v>
      </c>
      <c r="F393" t="s">
        <v>1561</v>
      </c>
      <c r="G393" t="s">
        <v>1562</v>
      </c>
      <c r="H393" t="s">
        <v>144</v>
      </c>
      <c r="I393" t="s">
        <v>145</v>
      </c>
      <c r="J393" t="s">
        <v>206</v>
      </c>
      <c r="K393" t="s">
        <v>345</v>
      </c>
      <c r="L393" t="s">
        <v>345</v>
      </c>
      <c r="M393" t="s">
        <v>148</v>
      </c>
      <c r="N393" t="s">
        <v>1158</v>
      </c>
      <c r="O393" t="s">
        <v>1159</v>
      </c>
      <c r="P393" t="s">
        <v>1160</v>
      </c>
      <c r="R393" t="s">
        <v>151</v>
      </c>
      <c r="S393" t="s">
        <v>147</v>
      </c>
      <c r="T393" t="s">
        <v>147</v>
      </c>
    </row>
    <row r="394">
      <c r="A394" t="str">
        <f>_xlfn.CONCAT(TBL_Sedes[[#This Row],[Ciudad]]," ",TBL_Sedes[[#This Row],[Nombre de la sede]])</f>
        <v xml:space="preserve">Yopal Centro Agroindustrial Y Fortalecimiento Empresarial De Casanare</v>
      </c>
      <c r="B394" t="s">
        <v>1563</v>
      </c>
      <c r="C394">
        <v>95191000</v>
      </c>
      <c r="D394" t="s">
        <v>1185</v>
      </c>
      <c r="E394" t="s">
        <v>1564</v>
      </c>
      <c r="F394" t="s">
        <v>1565</v>
      </c>
      <c r="G394" t="s">
        <v>1566</v>
      </c>
      <c r="H394" t="s">
        <v>144</v>
      </c>
      <c r="I394" t="s">
        <v>156</v>
      </c>
      <c r="J394" t="s">
        <v>345</v>
      </c>
      <c r="K394" t="s">
        <v>218</v>
      </c>
      <c r="L394" t="s">
        <v>147</v>
      </c>
      <c r="M394" t="s">
        <v>148</v>
      </c>
      <c r="N394" t="s">
        <v>1189</v>
      </c>
      <c r="O394" t="s">
        <v>1190</v>
      </c>
      <c r="P394">
        <v>3138568999</v>
      </c>
      <c r="Q394">
        <v>84789</v>
      </c>
      <c r="R394" t="s">
        <v>151</v>
      </c>
      <c r="S394" t="s">
        <v>147</v>
      </c>
      <c r="T394" t="s">
        <v>147</v>
      </c>
    </row>
    <row r="395">
      <c r="A395" t="str">
        <f>_xlfn.CONCAT(TBL_Sedes[[#This Row],[Ciudad]]," ",TBL_Sedes[[#This Row],[Nombre de la sede]])</f>
        <v xml:space="preserve">Yopal Regional Casanare</v>
      </c>
      <c r="B395">
        <v>170</v>
      </c>
      <c r="C395">
        <v>10108500</v>
      </c>
      <c r="D395" t="s">
        <v>1185</v>
      </c>
      <c r="E395" t="s">
        <v>1564</v>
      </c>
      <c r="F395" t="s">
        <v>1567</v>
      </c>
      <c r="G395" t="s">
        <v>1566</v>
      </c>
      <c r="H395" t="s">
        <v>122</v>
      </c>
      <c r="I395" t="s">
        <v>156</v>
      </c>
      <c r="J395" t="s">
        <v>165</v>
      </c>
      <c r="K395" t="s">
        <v>147</v>
      </c>
      <c r="L395" t="s">
        <v>147</v>
      </c>
      <c r="M395" t="s">
        <v>148</v>
      </c>
      <c r="N395" t="s">
        <v>1189</v>
      </c>
      <c r="O395" t="s">
        <v>1190</v>
      </c>
      <c r="P395">
        <v>3138568999</v>
      </c>
      <c r="Q395">
        <v>84789</v>
      </c>
      <c r="R395" t="s">
        <v>151</v>
      </c>
      <c r="S395" t="s">
        <v>147</v>
      </c>
      <c r="T395" t="s">
        <v>147</v>
      </c>
    </row>
    <row r="396">
      <c r="A396" t="str">
        <f>_xlfn.CONCAT(TBL_Sedes[[#This Row],[Ciudad]]," ",TBL_Sedes[[#This Row],[Nombre de la sede]])</f>
        <v xml:space="preserve">Yumbo Sede Yumbo</v>
      </c>
      <c r="B396">
        <v>223</v>
      </c>
      <c r="C396">
        <v>10107602</v>
      </c>
      <c r="D396" t="s">
        <v>487</v>
      </c>
      <c r="E396" t="s">
        <v>1568</v>
      </c>
      <c r="F396" t="s">
        <v>1569</v>
      </c>
      <c r="G396" t="s">
        <v>1570</v>
      </c>
      <c r="H396" t="s">
        <v>173</v>
      </c>
      <c r="I396" t="s">
        <v>145</v>
      </c>
      <c r="J396" t="s">
        <v>165</v>
      </c>
      <c r="K396" t="s">
        <v>200</v>
      </c>
      <c r="L396" t="s">
        <v>147</v>
      </c>
      <c r="M396" t="s">
        <v>148</v>
      </c>
      <c r="N396" t="s">
        <v>563</v>
      </c>
      <c r="O396" t="s">
        <v>527</v>
      </c>
      <c r="P396">
        <v>3108438599</v>
      </c>
      <c r="Q396">
        <v>22524</v>
      </c>
      <c r="R396" t="s">
        <v>338</v>
      </c>
    </row>
    <row r="397">
      <c r="A397" t="str">
        <f>_xlfn.CONCAT(TBL_Sedes[[#This Row],[Ciudad]]," ",TBL_Sedes[[#This Row],[Nombre de la sede]])</f>
        <v xml:space="preserve">Zipaquirá Sede - Zipaquirá</v>
      </c>
      <c r="B397">
        <v>341</v>
      </c>
      <c r="C397">
        <v>95131003</v>
      </c>
      <c r="D397" t="s">
        <v>370</v>
      </c>
      <c r="E397" t="s">
        <v>1571</v>
      </c>
      <c r="F397" t="s">
        <v>1572</v>
      </c>
      <c r="G397" t="s">
        <v>1573</v>
      </c>
      <c r="H397" t="s">
        <v>224</v>
      </c>
      <c r="I397" t="s">
        <v>174</v>
      </c>
      <c r="J397" t="s">
        <v>1574</v>
      </c>
      <c r="K397" t="s">
        <v>147</v>
      </c>
      <c r="L397" t="s">
        <v>147</v>
      </c>
      <c r="M397" t="s">
        <v>227</v>
      </c>
      <c r="N397" t="s">
        <v>500</v>
      </c>
      <c r="O397" t="s">
        <v>501</v>
      </c>
      <c r="P397" t="s">
        <v>1575</v>
      </c>
      <c r="Q397">
        <v>18071</v>
      </c>
      <c r="S397" t="s">
        <v>1527</v>
      </c>
      <c r="T397" t="s">
        <v>1576</v>
      </c>
    </row>
    <row r="398">
      <c r="A398" t="str">
        <f>_xlfn.CONCAT(TBL_Sedes[[#This Row],[Ciudad]]," ",TBL_Sedes[[#This Row],[Nombre de la sede]])</f>
        <v xml:space="preserve">Zipaquirá Sede Zipaquira</v>
      </c>
      <c r="B398" t="s">
        <v>1577</v>
      </c>
      <c r="C398">
        <v>95131052</v>
      </c>
      <c r="D398" t="s">
        <v>370</v>
      </c>
      <c r="E398" t="s">
        <v>1571</v>
      </c>
      <c r="F398" t="s">
        <v>1578</v>
      </c>
      <c r="G398" t="s">
        <v>1579</v>
      </c>
      <c r="H398" t="s">
        <v>217</v>
      </c>
      <c r="I398" t="s">
        <v>174</v>
      </c>
      <c r="J398" t="s">
        <v>206</v>
      </c>
      <c r="K398" t="s">
        <v>345</v>
      </c>
      <c r="L398" t="s">
        <v>345</v>
      </c>
      <c r="M398" t="s">
        <v>360</v>
      </c>
      <c r="N398" t="s">
        <v>661</v>
      </c>
      <c r="O398" t="s">
        <v>662</v>
      </c>
      <c r="P398">
        <v>3105591968</v>
      </c>
      <c r="Q398">
        <v>18071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26" zoomScale="115" workbookViewId="0">
      <selection activeCell="A1" activeCellId="0" sqref="A1:H2"/>
    </sheetView>
  </sheetViews>
  <sheetFormatPr defaultColWidth="0" defaultRowHeight="15" customHeight="1" zeroHeight="1"/>
  <cols>
    <col customWidth="1" min="1" max="1" style="15" width="27.42578125"/>
    <col customWidth="1" min="2" max="2" style="16" width="16.42578125"/>
    <col customWidth="1" min="3" max="3" style="16" width="19.28515625"/>
    <col customWidth="1" min="4" max="5" style="16" width="11.42578125"/>
    <col customWidth="1" min="6" max="7" style="15" width="9.42578125"/>
    <col customWidth="1" min="8" max="8" style="15" width="27.85546875"/>
    <col bestFit="1" customWidth="1" min="9" max="9" style="15" width="11.28515625"/>
    <col hidden="1" min="10" max="16384" style="15" width="11.42578125"/>
  </cols>
  <sheetData>
    <row r="1" ht="35.25" customHeight="1">
      <c r="A1" s="17"/>
      <c r="B1" s="17"/>
      <c r="C1" s="17"/>
      <c r="D1" s="17"/>
      <c r="E1" s="17"/>
      <c r="F1" s="17"/>
      <c r="G1" s="17"/>
      <c r="H1" s="17"/>
      <c r="I1" s="18" t="s">
        <v>1580</v>
      </c>
    </row>
    <row r="2" ht="40.5" customHeight="1">
      <c r="A2" s="17"/>
      <c r="B2" s="17"/>
      <c r="C2" s="17"/>
      <c r="D2" s="17"/>
      <c r="E2" s="17"/>
      <c r="F2" s="17"/>
      <c r="G2" s="17"/>
      <c r="H2" s="17"/>
      <c r="I2" s="19" t="s">
        <v>1581</v>
      </c>
    </row>
    <row r="3" ht="30" customHeight="1">
      <c r="A3" s="20" t="s">
        <v>1582</v>
      </c>
      <c r="B3" s="21"/>
      <c r="C3" s="21"/>
      <c r="D3" s="21"/>
      <c r="E3" s="21"/>
      <c r="F3" s="21"/>
      <c r="G3" s="21"/>
      <c r="H3" s="21"/>
      <c r="I3" s="22"/>
      <c r="J3" s="23" t="s">
        <v>1583</v>
      </c>
    </row>
    <row r="4" s="24" customFormat="1" ht="30.75" customHeight="1">
      <c r="A4" s="25" t="s">
        <v>1584</v>
      </c>
      <c r="B4" s="26"/>
      <c r="C4" s="26"/>
      <c r="D4" s="26"/>
      <c r="E4" s="26"/>
      <c r="F4" s="26"/>
      <c r="G4" s="26"/>
      <c r="H4" s="26"/>
      <c r="I4" s="27"/>
    </row>
    <row r="5" ht="23.25" customHeight="1">
      <c r="A5" s="20" t="s">
        <v>1585</v>
      </c>
      <c r="B5" s="21"/>
      <c r="C5" s="21"/>
      <c r="D5" s="21"/>
      <c r="E5" s="21"/>
      <c r="F5" s="21"/>
      <c r="G5" s="21"/>
      <c r="H5" s="21"/>
      <c r="I5" s="22"/>
    </row>
    <row r="6" ht="36" customHeight="1">
      <c r="A6" s="25" t="s">
        <v>1586</v>
      </c>
      <c r="B6" s="26"/>
      <c r="C6" s="26"/>
      <c r="D6" s="26"/>
      <c r="E6" s="26"/>
      <c r="F6" s="26"/>
      <c r="G6" s="26"/>
      <c r="H6" s="26"/>
      <c r="I6" s="27"/>
    </row>
    <row r="7" ht="23.25" customHeight="1">
      <c r="A7" s="20" t="s">
        <v>1587</v>
      </c>
      <c r="B7" s="21"/>
      <c r="C7" s="21"/>
      <c r="D7" s="21"/>
      <c r="E7" s="21"/>
      <c r="F7" s="21"/>
      <c r="G7" s="21"/>
      <c r="H7" s="21"/>
      <c r="I7" s="22"/>
    </row>
    <row r="8" ht="23.25" customHeight="1">
      <c r="A8" s="28" t="s">
        <v>1588</v>
      </c>
      <c r="B8" s="29"/>
      <c r="C8" s="28" t="s">
        <v>1589</v>
      </c>
      <c r="D8" s="30"/>
      <c r="E8" s="29"/>
      <c r="F8" s="28" t="s">
        <v>1590</v>
      </c>
      <c r="G8" s="30"/>
      <c r="H8" s="30"/>
      <c r="I8" s="29"/>
    </row>
    <row r="9" ht="23.25" customHeight="1">
      <c r="A9" s="31" t="s">
        <v>1591</v>
      </c>
      <c r="B9" s="32"/>
      <c r="C9" s="32"/>
      <c r="D9" s="32"/>
      <c r="E9" s="32"/>
      <c r="F9" s="32"/>
      <c r="G9" s="32"/>
      <c r="H9" s="32"/>
      <c r="I9" s="33"/>
    </row>
    <row r="10" ht="18">
      <c r="A10" s="31" t="s">
        <v>1592</v>
      </c>
      <c r="B10" s="32"/>
      <c r="C10" s="32"/>
      <c r="D10" s="32"/>
      <c r="E10" s="32"/>
      <c r="F10" s="32"/>
      <c r="G10" s="32"/>
      <c r="H10" s="32"/>
      <c r="I10" s="33"/>
    </row>
    <row r="11" ht="18">
      <c r="A11" s="34" t="s">
        <v>1593</v>
      </c>
      <c r="B11" s="35"/>
      <c r="C11" s="35"/>
      <c r="D11" s="35"/>
      <c r="E11" s="35"/>
      <c r="F11" s="35"/>
      <c r="G11" s="35"/>
      <c r="H11" s="35"/>
      <c r="I11" s="36"/>
    </row>
    <row r="12" ht="14.449999999999999">
      <c r="A12" s="37" t="s">
        <v>1594</v>
      </c>
      <c r="B12" s="38"/>
      <c r="C12" s="38"/>
      <c r="D12" s="38"/>
      <c r="E12" s="38"/>
      <c r="F12" s="38"/>
      <c r="G12" s="38"/>
      <c r="H12" s="38"/>
      <c r="I12" s="39"/>
    </row>
    <row r="13" ht="14.449999999999999">
      <c r="A13" s="37" t="s">
        <v>1595</v>
      </c>
      <c r="B13" s="38"/>
      <c r="C13" s="38"/>
      <c r="D13" s="38"/>
      <c r="E13" s="38"/>
      <c r="F13" s="38"/>
      <c r="G13" s="38"/>
      <c r="H13" s="38"/>
      <c r="I13" s="39"/>
    </row>
    <row r="14" ht="14.449999999999999">
      <c r="A14" s="37" t="s">
        <v>1596</v>
      </c>
      <c r="B14" s="38"/>
      <c r="C14" s="38"/>
      <c r="D14" s="38"/>
      <c r="E14" s="38"/>
      <c r="F14" s="38"/>
      <c r="G14" s="38"/>
      <c r="H14" s="38"/>
      <c r="I14" s="39"/>
    </row>
    <row r="15" ht="14.449999999999999">
      <c r="A15" s="37" t="s">
        <v>1597</v>
      </c>
      <c r="B15" s="38"/>
      <c r="C15" s="38"/>
      <c r="D15" s="38"/>
      <c r="E15" s="38"/>
      <c r="F15" s="38"/>
      <c r="G15" s="38"/>
      <c r="H15" s="38"/>
      <c r="I15" s="39"/>
    </row>
    <row r="16" ht="14.449999999999999">
      <c r="A16" s="37" t="s">
        <v>1598</v>
      </c>
      <c r="B16" s="38"/>
      <c r="C16" s="38"/>
      <c r="D16" s="38"/>
      <c r="E16" s="38"/>
      <c r="F16" s="38"/>
      <c r="G16" s="38"/>
      <c r="H16" s="38"/>
      <c r="I16" s="39"/>
    </row>
    <row r="17" ht="14.449999999999999">
      <c r="A17" s="37" t="s">
        <v>1599</v>
      </c>
      <c r="B17" s="38"/>
      <c r="C17" s="38"/>
      <c r="D17" s="38"/>
      <c r="E17" s="38"/>
      <c r="F17" s="38"/>
      <c r="G17" s="38"/>
      <c r="H17" s="38"/>
      <c r="I17" s="39"/>
    </row>
    <row r="18" ht="14.449999999999999">
      <c r="A18" s="37" t="s">
        <v>1600</v>
      </c>
      <c r="B18" s="38"/>
      <c r="C18" s="38"/>
      <c r="D18" s="38"/>
      <c r="E18" s="38"/>
      <c r="F18" s="38"/>
      <c r="G18" s="38"/>
      <c r="H18" s="38"/>
      <c r="I18" s="39"/>
    </row>
    <row r="19" ht="18">
      <c r="A19" s="40" t="s">
        <v>1601</v>
      </c>
      <c r="B19" s="41"/>
      <c r="C19" s="41"/>
      <c r="D19" s="41"/>
      <c r="E19" s="41"/>
      <c r="F19" s="41"/>
      <c r="G19" s="41"/>
      <c r="H19" s="41"/>
      <c r="I19" s="42"/>
    </row>
    <row r="20" ht="3" customHeight="1">
      <c r="A20" s="43"/>
      <c r="B20" s="43"/>
      <c r="C20" s="43"/>
      <c r="D20" s="43"/>
      <c r="E20" s="43"/>
      <c r="F20" s="43"/>
      <c r="G20" s="43"/>
      <c r="H20" s="43"/>
      <c r="I20" s="43"/>
    </row>
    <row r="21" ht="15.6">
      <c r="A21" s="44" t="s">
        <v>1602</v>
      </c>
      <c r="B21" s="44" t="s">
        <v>1603</v>
      </c>
      <c r="C21" s="44"/>
      <c r="D21" s="44"/>
      <c r="E21" s="44"/>
      <c r="F21" s="45" t="s">
        <v>1604</v>
      </c>
      <c r="G21" s="46"/>
      <c r="H21" s="46"/>
      <c r="I21" s="47"/>
    </row>
    <row r="22" ht="15.6">
      <c r="A22" s="48" t="s">
        <v>1605</v>
      </c>
      <c r="B22" s="49"/>
      <c r="C22" s="49"/>
      <c r="D22" s="49"/>
      <c r="E22" s="49"/>
      <c r="F22" s="49"/>
      <c r="G22" s="49"/>
      <c r="H22" s="49"/>
      <c r="I22" s="50"/>
    </row>
    <row r="23" ht="15" customHeight="1">
      <c r="A23" s="51" t="s">
        <v>1606</v>
      </c>
      <c r="B23" s="52" t="s">
        <v>1607</v>
      </c>
      <c r="C23" s="52"/>
      <c r="D23" s="52"/>
      <c r="E23" s="52"/>
      <c r="F23" s="53"/>
      <c r="G23" s="54"/>
      <c r="H23" s="54"/>
      <c r="I23" s="55"/>
    </row>
    <row r="24" ht="15" customHeight="1">
      <c r="A24" s="51" t="s">
        <v>1608</v>
      </c>
      <c r="B24" s="52" t="s">
        <v>1609</v>
      </c>
      <c r="C24" s="52"/>
      <c r="D24" s="52"/>
      <c r="E24" s="52"/>
      <c r="F24" s="53"/>
      <c r="G24" s="54"/>
      <c r="H24" s="54"/>
      <c r="I24" s="55"/>
    </row>
    <row r="25" ht="15" customHeight="1">
      <c r="A25" s="51" t="s">
        <v>1610</v>
      </c>
      <c r="B25" s="53" t="s">
        <v>1611</v>
      </c>
      <c r="C25" s="54"/>
      <c r="D25" s="54"/>
      <c r="E25" s="55"/>
      <c r="F25" s="56"/>
      <c r="G25" s="57"/>
      <c r="H25" s="57"/>
      <c r="I25" s="58"/>
    </row>
    <row r="26" ht="15" customHeight="1">
      <c r="A26" s="51" t="s">
        <v>122</v>
      </c>
      <c r="B26" s="52" t="s">
        <v>1612</v>
      </c>
      <c r="C26" s="52"/>
      <c r="D26" s="52"/>
      <c r="E26" s="52"/>
      <c r="F26" s="53"/>
      <c r="G26" s="54"/>
      <c r="H26" s="54"/>
      <c r="I26" s="55"/>
    </row>
    <row r="27" ht="15" customHeight="1">
      <c r="A27" s="51" t="s">
        <v>1613</v>
      </c>
      <c r="B27" s="52" t="s">
        <v>1614</v>
      </c>
      <c r="C27" s="52"/>
      <c r="D27" s="52"/>
      <c r="E27" s="52"/>
      <c r="F27" s="53"/>
      <c r="G27" s="54"/>
      <c r="H27" s="54"/>
      <c r="I27" s="55"/>
    </row>
    <row r="28" ht="15.75" customHeight="1">
      <c r="A28" s="48" t="s">
        <v>1615</v>
      </c>
      <c r="B28" s="49"/>
      <c r="C28" s="49"/>
      <c r="D28" s="49"/>
      <c r="E28" s="49"/>
      <c r="F28" s="49"/>
      <c r="G28" s="49"/>
      <c r="H28" s="49"/>
      <c r="I28" s="50"/>
    </row>
    <row r="29" ht="15.6">
      <c r="A29" s="59" t="s">
        <v>1616</v>
      </c>
      <c r="B29" s="60" t="s">
        <v>1617</v>
      </c>
      <c r="C29" s="61"/>
      <c r="D29" s="61"/>
      <c r="E29" s="62"/>
      <c r="F29" s="63"/>
      <c r="G29" s="64"/>
      <c r="H29" s="64"/>
      <c r="I29" s="65"/>
    </row>
    <row r="30" ht="85.5" customHeight="1">
      <c r="A30" s="51" t="s">
        <v>0</v>
      </c>
      <c r="B30" s="52" t="s">
        <v>1618</v>
      </c>
      <c r="C30" s="52"/>
      <c r="D30" s="52"/>
      <c r="E30" s="52"/>
      <c r="F30" s="66" t="s">
        <v>1619</v>
      </c>
      <c r="G30" s="67"/>
      <c r="H30" s="67"/>
      <c r="I30" s="68"/>
    </row>
    <row r="31" ht="104.25" customHeight="1">
      <c r="A31" s="51" t="s">
        <v>1620</v>
      </c>
      <c r="B31" s="52" t="s">
        <v>1621</v>
      </c>
      <c r="C31" s="52"/>
      <c r="D31" s="52"/>
      <c r="E31" s="52"/>
      <c r="F31" s="66" t="s">
        <v>1622</v>
      </c>
      <c r="G31" s="67"/>
      <c r="H31" s="67"/>
      <c r="I31" s="68"/>
    </row>
    <row r="32" ht="46.5" customHeight="1">
      <c r="A32" s="51" t="s">
        <v>1606</v>
      </c>
      <c r="B32" s="52" t="s">
        <v>1623</v>
      </c>
      <c r="C32" s="52"/>
      <c r="D32" s="52"/>
      <c r="E32" s="52"/>
      <c r="F32" s="66" t="s">
        <v>1624</v>
      </c>
      <c r="G32" s="67"/>
      <c r="H32" s="67"/>
      <c r="I32" s="68"/>
    </row>
    <row r="33" ht="45" customHeight="1">
      <c r="A33" s="51" t="s">
        <v>1608</v>
      </c>
      <c r="B33" s="52" t="s">
        <v>1625</v>
      </c>
      <c r="C33" s="52"/>
      <c r="D33" s="52"/>
      <c r="E33" s="52"/>
      <c r="F33" s="66" t="s">
        <v>1626</v>
      </c>
      <c r="G33" s="67"/>
      <c r="H33" s="67"/>
      <c r="I33" s="68"/>
    </row>
    <row r="34" ht="15" customHeight="1">
      <c r="A34" s="51" t="s">
        <v>1627</v>
      </c>
      <c r="B34" s="52" t="s">
        <v>1628</v>
      </c>
      <c r="C34" s="52"/>
      <c r="D34" s="52"/>
      <c r="E34" s="52"/>
      <c r="F34" s="66" t="s">
        <v>1619</v>
      </c>
      <c r="G34" s="67"/>
      <c r="H34" s="67"/>
      <c r="I34" s="68"/>
    </row>
    <row r="35" ht="15" customHeight="1">
      <c r="A35" s="51" t="s">
        <v>1629</v>
      </c>
      <c r="B35" s="53" t="s">
        <v>1630</v>
      </c>
      <c r="C35" s="54"/>
      <c r="D35" s="54"/>
      <c r="E35" s="55"/>
      <c r="F35" s="53" t="s">
        <v>1619</v>
      </c>
      <c r="G35" s="54"/>
      <c r="H35" s="54"/>
      <c r="I35" s="55"/>
    </row>
    <row r="36" ht="15" customHeight="1">
      <c r="A36" s="51" t="s">
        <v>1631</v>
      </c>
      <c r="B36" s="53" t="s">
        <v>1632</v>
      </c>
      <c r="C36" s="54"/>
      <c r="D36" s="54"/>
      <c r="E36" s="55"/>
      <c r="F36" s="53" t="s">
        <v>1619</v>
      </c>
      <c r="G36" s="54"/>
      <c r="H36" s="54"/>
      <c r="I36" s="55"/>
    </row>
    <row r="37" ht="28.5" customHeight="1">
      <c r="A37" s="51" t="s">
        <v>1633</v>
      </c>
      <c r="B37" s="52" t="s">
        <v>1634</v>
      </c>
      <c r="C37" s="52"/>
      <c r="D37" s="52"/>
      <c r="E37" s="52"/>
      <c r="F37" s="66" t="s">
        <v>1619</v>
      </c>
      <c r="G37" s="67"/>
      <c r="H37" s="67"/>
      <c r="I37" s="68"/>
    </row>
    <row r="38" ht="67.5" customHeight="1">
      <c r="A38" s="51" t="s">
        <v>1635</v>
      </c>
      <c r="B38" s="52" t="s">
        <v>1636</v>
      </c>
      <c r="C38" s="52"/>
      <c r="D38" s="52"/>
      <c r="E38" s="52"/>
      <c r="F38" s="66" t="s">
        <v>1637</v>
      </c>
      <c r="G38" s="67"/>
      <c r="H38" s="67"/>
      <c r="I38" s="68"/>
    </row>
    <row r="39" ht="32.25" customHeight="1">
      <c r="A39" s="51" t="s">
        <v>5</v>
      </c>
      <c r="B39" s="69" t="s">
        <v>1636</v>
      </c>
      <c r="C39" s="70"/>
      <c r="D39" s="70"/>
      <c r="E39" s="71"/>
      <c r="F39" s="53" t="s">
        <v>1638</v>
      </c>
      <c r="G39" s="54"/>
      <c r="H39" s="54"/>
      <c r="I39" s="55"/>
    </row>
    <row r="40" ht="15" customHeight="1">
      <c r="A40" s="51" t="s">
        <v>1639</v>
      </c>
      <c r="B40" s="53" t="s">
        <v>1640</v>
      </c>
      <c r="C40" s="54"/>
      <c r="D40" s="54"/>
      <c r="E40" s="55"/>
      <c r="F40" s="53" t="s">
        <v>1641</v>
      </c>
      <c r="G40" s="54"/>
      <c r="H40" s="54"/>
      <c r="I40" s="55"/>
    </row>
    <row r="41" ht="15" customHeight="1">
      <c r="A41" s="51" t="s">
        <v>1642</v>
      </c>
      <c r="B41" s="52" t="s">
        <v>1643</v>
      </c>
      <c r="C41" s="52"/>
      <c r="D41" s="52"/>
      <c r="E41" s="52"/>
      <c r="F41" s="53" t="s">
        <v>1641</v>
      </c>
      <c r="G41" s="54"/>
      <c r="H41" s="54"/>
      <c r="I41" s="55"/>
    </row>
    <row r="42" s="72" customFormat="1" ht="31.5" customHeight="1">
      <c r="A42" s="51" t="s">
        <v>1644</v>
      </c>
      <c r="B42" s="53" t="s">
        <v>1645</v>
      </c>
      <c r="C42" s="54"/>
      <c r="D42" s="54"/>
      <c r="E42" s="55"/>
      <c r="F42" s="72" t="s">
        <v>1619</v>
      </c>
      <c r="G42" s="73"/>
      <c r="H42" s="73"/>
      <c r="I42" s="73"/>
    </row>
    <row r="43" ht="36" customHeight="1">
      <c r="A43" s="51" t="s">
        <v>1646</v>
      </c>
      <c r="B43" s="53" t="s">
        <v>1647</v>
      </c>
      <c r="C43" s="54"/>
      <c r="D43" s="54"/>
      <c r="E43" s="55"/>
      <c r="F43" s="53" t="s">
        <v>1641</v>
      </c>
      <c r="G43" s="54"/>
      <c r="H43" s="54"/>
      <c r="I43" s="55"/>
    </row>
    <row r="44" ht="15" customHeight="1">
      <c r="A44" s="51" t="s">
        <v>1648</v>
      </c>
      <c r="B44" s="53" t="s">
        <v>1649</v>
      </c>
      <c r="C44" s="54"/>
      <c r="D44" s="54"/>
      <c r="E44" s="55"/>
      <c r="F44" s="53" t="s">
        <v>1650</v>
      </c>
      <c r="G44" s="54"/>
      <c r="H44" s="54"/>
      <c r="I44" s="55"/>
    </row>
    <row r="45" ht="48.75" customHeight="1">
      <c r="A45" s="51" t="s">
        <v>1651</v>
      </c>
      <c r="B45" s="52" t="s">
        <v>1652</v>
      </c>
      <c r="C45" s="52"/>
      <c r="D45" s="52"/>
      <c r="E45" s="52"/>
      <c r="F45" s="53" t="s">
        <v>1650</v>
      </c>
      <c r="G45" s="54"/>
      <c r="H45" s="54"/>
      <c r="I45" s="55"/>
    </row>
    <row r="46" ht="15" customHeight="1">
      <c r="A46" s="51" t="s">
        <v>1653</v>
      </c>
      <c r="B46" s="53" t="s">
        <v>1654</v>
      </c>
      <c r="C46" s="54"/>
      <c r="D46" s="54"/>
      <c r="E46" s="55"/>
      <c r="F46" s="53" t="s">
        <v>1650</v>
      </c>
      <c r="G46" s="54"/>
      <c r="H46" s="54"/>
      <c r="I46" s="55"/>
    </row>
    <row r="47" ht="46.5" customHeight="1">
      <c r="A47" s="51" t="s">
        <v>1655</v>
      </c>
      <c r="B47" s="52" t="s">
        <v>1656</v>
      </c>
      <c r="C47" s="52"/>
      <c r="D47" s="52"/>
      <c r="E47" s="52"/>
      <c r="F47" s="53" t="s">
        <v>1650</v>
      </c>
      <c r="G47" s="54"/>
      <c r="H47" s="54"/>
      <c r="I47" s="55"/>
    </row>
    <row r="48" ht="36" customHeight="1">
      <c r="A48" s="48" t="s">
        <v>1657</v>
      </c>
      <c r="B48" s="49"/>
      <c r="C48" s="49"/>
      <c r="D48" s="49"/>
      <c r="E48" s="49"/>
      <c r="F48" s="49"/>
      <c r="G48" s="49"/>
      <c r="H48" s="49"/>
      <c r="I48" s="50"/>
    </row>
    <row r="49" ht="18" customHeight="1">
      <c r="A49" s="59" t="s">
        <v>1616</v>
      </c>
      <c r="B49" s="60" t="s">
        <v>1617</v>
      </c>
      <c r="C49" s="61"/>
      <c r="D49" s="61"/>
      <c r="E49" s="62"/>
      <c r="F49" s="74"/>
      <c r="G49" s="75"/>
      <c r="H49" s="75"/>
      <c r="I49" s="76"/>
    </row>
    <row r="50" ht="15" customHeight="1">
      <c r="A50" s="51" t="s">
        <v>0</v>
      </c>
      <c r="B50" s="77" t="s">
        <v>1658</v>
      </c>
      <c r="C50" s="77"/>
      <c r="D50" s="77"/>
      <c r="E50" s="77"/>
      <c r="F50" s="78" t="s">
        <v>1659</v>
      </c>
      <c r="G50" s="79"/>
      <c r="H50" s="79"/>
      <c r="I50" s="80"/>
    </row>
    <row r="51" ht="29.25" customHeight="1">
      <c r="A51" s="51" t="s">
        <v>1660</v>
      </c>
      <c r="B51" s="77" t="s">
        <v>1661</v>
      </c>
      <c r="C51" s="77"/>
      <c r="D51" s="77"/>
      <c r="E51" s="77"/>
      <c r="F51" s="81"/>
      <c r="G51" s="82"/>
      <c r="H51" s="82"/>
      <c r="I51" s="83"/>
    </row>
    <row r="52" ht="37.5" customHeight="1">
      <c r="A52" s="51" t="s">
        <v>1662</v>
      </c>
      <c r="B52" s="77" t="s">
        <v>1663</v>
      </c>
      <c r="C52" s="77"/>
      <c r="D52" s="77"/>
      <c r="E52" s="77"/>
      <c r="F52" s="81"/>
      <c r="G52" s="82"/>
      <c r="H52" s="82"/>
      <c r="I52" s="83"/>
    </row>
    <row r="53" ht="28.899999999999999">
      <c r="A53" s="51" t="s">
        <v>1664</v>
      </c>
      <c r="B53" s="77" t="s">
        <v>1665</v>
      </c>
      <c r="C53" s="77"/>
      <c r="D53" s="77"/>
      <c r="E53" s="77"/>
      <c r="F53" s="84"/>
      <c r="G53" s="85"/>
      <c r="H53" s="85"/>
      <c r="I53" s="86"/>
    </row>
    <row r="54" ht="28.899999999999999">
      <c r="A54" s="87" t="s">
        <v>1666</v>
      </c>
      <c r="B54" s="88" t="s">
        <v>1667</v>
      </c>
      <c r="C54" s="89"/>
      <c r="D54" s="89"/>
      <c r="E54" s="90"/>
      <c r="F54" s="91"/>
      <c r="G54" s="92"/>
      <c r="H54" s="92"/>
      <c r="I54" s="93"/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</sheetData>
  <sheetProtection autoFilter="1" deleteColumns="1" deleteRows="1" formatCells="1" formatColumns="1" formatRows="1" insertColumns="1" insertHyperlinks="1" insertRows="1" pivotTables="1" selectLockedCells="1" selectUnlockedCells="1" sheet="0" sort="1"/>
  <mergeCells count="82">
    <mergeCell ref="A1:H2"/>
    <mergeCell ref="A3:I3"/>
    <mergeCell ref="A4:I4"/>
    <mergeCell ref="A5:I5"/>
    <mergeCell ref="A18:I18"/>
    <mergeCell ref="A9:I9"/>
    <mergeCell ref="A10:I10"/>
    <mergeCell ref="A11:I11"/>
    <mergeCell ref="A12:I12"/>
    <mergeCell ref="A13:I13"/>
    <mergeCell ref="A14:I14"/>
    <mergeCell ref="A15:I15"/>
    <mergeCell ref="A16:I16"/>
    <mergeCell ref="A17:I17"/>
    <mergeCell ref="A6:I6"/>
    <mergeCell ref="A7:I7"/>
    <mergeCell ref="F27:I27"/>
    <mergeCell ref="A28:I28"/>
    <mergeCell ref="B29:E29"/>
    <mergeCell ref="A19:I19"/>
    <mergeCell ref="B21:E21"/>
    <mergeCell ref="F21:I21"/>
    <mergeCell ref="A22:I22"/>
    <mergeCell ref="B23:E23"/>
    <mergeCell ref="F23:I23"/>
    <mergeCell ref="F24:I24"/>
    <mergeCell ref="B25:E25"/>
    <mergeCell ref="F25:I25"/>
    <mergeCell ref="B26:E26"/>
    <mergeCell ref="F26:I26"/>
    <mergeCell ref="B31:E31"/>
    <mergeCell ref="B32:E32"/>
    <mergeCell ref="B33:E33"/>
    <mergeCell ref="B30:E30"/>
    <mergeCell ref="B24:E24"/>
    <mergeCell ref="B27:E27"/>
    <mergeCell ref="B37:E37"/>
    <mergeCell ref="B38:E38"/>
    <mergeCell ref="B39:E39"/>
    <mergeCell ref="B34:E34"/>
    <mergeCell ref="B35:E35"/>
    <mergeCell ref="B36:E36"/>
    <mergeCell ref="B43:E43"/>
    <mergeCell ref="B44:E44"/>
    <mergeCell ref="B45:E45"/>
    <mergeCell ref="B40:E40"/>
    <mergeCell ref="B41:E41"/>
    <mergeCell ref="B42:E42"/>
    <mergeCell ref="B54:E54"/>
    <mergeCell ref="B46:E46"/>
    <mergeCell ref="F46:I46"/>
    <mergeCell ref="B47:E47"/>
    <mergeCell ref="F47:I47"/>
    <mergeCell ref="A48:I48"/>
    <mergeCell ref="B49:E49"/>
    <mergeCell ref="B50:E50"/>
    <mergeCell ref="B51:E51"/>
    <mergeCell ref="B52:E52"/>
    <mergeCell ref="B53:E53"/>
    <mergeCell ref="A8:B8"/>
    <mergeCell ref="C8:E8"/>
    <mergeCell ref="F8:I8"/>
    <mergeCell ref="F54:I54"/>
    <mergeCell ref="F50:I53"/>
    <mergeCell ref="F49:I49"/>
    <mergeCell ref="F45:I45"/>
    <mergeCell ref="F44:I44"/>
    <mergeCell ref="F43:I43"/>
    <mergeCell ref="F42:XFD42"/>
    <mergeCell ref="F41:I41"/>
    <mergeCell ref="F40:I40"/>
    <mergeCell ref="F39:I39"/>
    <mergeCell ref="F38:I38"/>
    <mergeCell ref="F37:I37"/>
    <mergeCell ref="F36:I36"/>
    <mergeCell ref="F30:I30"/>
    <mergeCell ref="F29:I29"/>
    <mergeCell ref="F35:I35"/>
    <mergeCell ref="F34:I34"/>
    <mergeCell ref="F33:I33"/>
    <mergeCell ref="F32:I32"/>
    <mergeCell ref="F31:I31"/>
  </mergeCells>
  <printOptions headings="0" gridLines="0"/>
  <pageMargins left="0.69999999999999996" right="0.69999999999999996" top="0.75" bottom="0.75" header="0.29999999999999999" footer="0.29999999999999999"/>
  <pageSetup paperSize="9" scale="44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3" id="{00EE009A-006F-46B6-B833-0021007900E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A22</xm:sqref>
        </x14:conditionalFormatting>
        <x14:conditionalFormatting xmlns:xm="http://schemas.microsoft.com/office/excel/2006/main">
          <x14:cfRule type="duplicateValues" priority="2" id="{00DC00B1-0085-4105-88D1-00C7006200B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A28:A29</xm:sqref>
        </x14:conditionalFormatting>
        <x14:conditionalFormatting xmlns:xm="http://schemas.microsoft.com/office/excel/2006/main">
          <x14:cfRule type="duplicateValues" priority="1" id="{00570033-00AE-4074-AB6E-00D100CF008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A48:A49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5">
    <outlinePr applyStyles="0" summaryBelow="1" summaryRight="1" showOutlineSymbols="1"/>
    <pageSetUpPr autoPageBreaks="1" fitToPage="1"/>
  </sheetPr>
  <sheetViews>
    <sheetView showGridLines="0" topLeftCell="A6" zoomScale="85" workbookViewId="0">
      <selection activeCell="A57" activeCellId="0" sqref="A57:S57"/>
    </sheetView>
  </sheetViews>
  <sheetFormatPr defaultColWidth="0" defaultRowHeight="13.9" zeroHeight="1"/>
  <cols>
    <col bestFit="1" customWidth="1" min="1" max="1" style="94" width="6.85546875"/>
    <col customWidth="1" min="2" max="2" style="94" width="17.42578125"/>
    <col customWidth="1" min="3" max="3" style="94" width="43.42578125"/>
    <col customWidth="1" min="4" max="4" style="94" width="27.42578125"/>
    <col customWidth="1" min="5" max="5" style="94" width="29.42578125"/>
    <col customWidth="1" min="6" max="6" style="94" width="24.7109375"/>
    <col bestFit="1" customWidth="1" min="7" max="7" style="94" width="22.7109375"/>
    <col bestFit="1" customWidth="1" min="8" max="8" style="94" width="42"/>
    <col bestFit="1" customWidth="1" min="9" max="9" style="94" width="20.42578125"/>
    <col customWidth="1" min="10" max="10" style="94" width="46.42578125"/>
    <col customWidth="1" min="11" max="11" style="94" width="20.28515625"/>
    <col customWidth="1" min="12" max="12" style="94" width="74.42578125"/>
    <col customWidth="1" min="13" max="15" style="94" width="60.7109375"/>
    <col bestFit="1" customWidth="1" min="16" max="16" style="94" width="17.28515625"/>
    <col bestFit="1" customWidth="1" min="17" max="17" style="94" width="26"/>
    <col customWidth="1" min="18" max="18" style="94" width="8"/>
    <col customWidth="1" min="19" max="19" style="94" width="41.140625"/>
    <col customWidth="1" hidden="1" min="20" max="20" style="94" width="27.140625"/>
    <col customWidth="1" hidden="1" min="21" max="21" style="94" width="26.85546875"/>
    <col customWidth="1" hidden="1" min="22" max="22" style="94" width="22.7109375"/>
    <col customWidth="1" hidden="1" min="23" max="23" style="94" width="52.42578125"/>
    <col customWidth="1" hidden="1" min="24" max="24" style="94" width="67.7109375"/>
    <col customWidth="1" hidden="1" min="25" max="25" style="94" width="51.28515625"/>
    <col customWidth="1" hidden="1" min="26" max="26" style="94" width="52.42578125"/>
    <col customWidth="1" hidden="1" min="27" max="27" style="94" width="42.85546875"/>
    <col customWidth="1" hidden="1" min="28" max="28" style="94" width="58.28515625"/>
    <col customWidth="1" hidden="1" min="29" max="29" style="94" width="44"/>
    <col customWidth="1" hidden="1" min="30" max="30" style="94" width="33.28515625"/>
    <col customWidth="1" hidden="1" min="31" max="31" style="94" width="59.140625"/>
    <col customWidth="1" hidden="1" min="32" max="32" style="94" width="63"/>
    <col customWidth="1" hidden="1" min="33" max="33" style="94" width="45.7109375"/>
    <col customWidth="1" hidden="1" min="34" max="34" style="94" width="74.7109375"/>
    <col customWidth="1" hidden="1" min="35" max="35" style="94" width="48.7109375"/>
    <col customWidth="1" hidden="1" min="36" max="36" style="94" width="61.42578125"/>
    <col customWidth="1" hidden="1" min="37" max="37" style="94" width="83.85546875"/>
    <col customWidth="1" hidden="1" min="38" max="38" style="94" width="21.85546875"/>
    <col customWidth="1" hidden="1" min="39" max="39" style="94" width="21.42578125"/>
    <col customWidth="1" hidden="1" min="40" max="40" style="94" width="23.140625"/>
    <col customWidth="1" hidden="1" min="41" max="41" style="94" width="53.42578125"/>
    <col customWidth="1" hidden="1" min="42" max="42" style="94" width="55"/>
    <col customWidth="1" hidden="1" min="43" max="43" style="94" width="36.42578125"/>
    <col customWidth="1" hidden="1" min="44" max="44" style="94" width="49.42578125"/>
    <col customWidth="1" hidden="1" min="45" max="45" style="94" width="59.85546875"/>
    <col customWidth="1" hidden="1" min="46" max="46" style="94" width="36.42578125"/>
    <col customWidth="1" hidden="1" min="47" max="47" style="94" width="65.85546875"/>
    <col customWidth="1" hidden="1" min="48" max="48" style="94" width="52.85546875"/>
    <col customWidth="1" hidden="1" min="49" max="49" style="94" width="54.42578125"/>
    <col customWidth="1" hidden="1" min="50" max="50" style="94" width="44.85546875"/>
    <col customWidth="1" hidden="1" min="51" max="51" style="94" width="50.28515625"/>
    <col customWidth="1" hidden="1" min="52" max="52" style="94" width="37.28515625"/>
    <col customWidth="1" hidden="1" min="53" max="53" style="94" width="73.85546875"/>
    <col customWidth="1" hidden="1" min="54" max="54" style="94" width="54.42578125"/>
    <col customWidth="1" hidden="1" min="55" max="55" style="94" width="22.42578125"/>
    <col customWidth="1" hidden="1" min="56" max="56" style="94" width="11.42578125"/>
    <col customWidth="1" hidden="1" min="57" max="57" style="94" width="22.42578125"/>
    <col hidden="1" min="58" max="16384" style="94" width="11.42578125"/>
  </cols>
  <sheetData>
    <row r="1" s="95" customFormat="1" ht="49.5" customHeight="1">
      <c r="A1" s="96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8"/>
      <c r="S1" s="99" t="s">
        <v>1668</v>
      </c>
    </row>
    <row r="2" s="95" customFormat="1" ht="28.5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2"/>
      <c r="S2" s="103" t="s">
        <v>1669</v>
      </c>
    </row>
    <row r="3" ht="18.75" customHeight="1">
      <c r="A3" s="104" t="s">
        <v>1584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6"/>
    </row>
    <row r="4" ht="18.75" customHeight="1">
      <c r="A4" s="104" t="s">
        <v>1670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6"/>
    </row>
    <row r="5" ht="15.75" customHeight="1">
      <c r="A5" s="107" t="s">
        <v>1671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9"/>
    </row>
    <row r="6" ht="15.75" customHeight="1">
      <c r="A6" s="107" t="s">
        <v>1606</v>
      </c>
      <c r="B6" s="108"/>
      <c r="C6" s="108"/>
      <c r="D6" s="109"/>
      <c r="E6" s="107" t="s">
        <v>1608</v>
      </c>
      <c r="F6" s="108"/>
      <c r="G6" s="108"/>
      <c r="H6" s="109"/>
      <c r="I6" s="107" t="s">
        <v>1672</v>
      </c>
      <c r="J6" s="108"/>
      <c r="K6" s="108"/>
      <c r="L6" s="108"/>
      <c r="M6" s="109"/>
      <c r="N6" s="108"/>
      <c r="O6" s="108"/>
      <c r="P6" s="107" t="s">
        <v>1613</v>
      </c>
      <c r="Q6" s="108"/>
      <c r="R6" s="108"/>
      <c r="S6" s="109"/>
    </row>
    <row r="7" s="110" customFormat="1" ht="14.449999999999999">
      <c r="A7" s="111" t="s">
        <v>1673</v>
      </c>
      <c r="B7" s="111"/>
      <c r="C7" s="111"/>
      <c r="D7" s="111"/>
      <c r="E7" s="111" t="s">
        <v>1674</v>
      </c>
      <c r="F7" s="111"/>
      <c r="G7" s="111"/>
      <c r="H7" s="111"/>
      <c r="I7" s="112" t="s">
        <v>1675</v>
      </c>
      <c r="J7" s="113"/>
      <c r="K7" s="113"/>
      <c r="L7" s="113" t="s">
        <v>452</v>
      </c>
      <c r="M7" s="114"/>
      <c r="N7" s="113"/>
      <c r="O7" s="113"/>
      <c r="P7" s="115" t="s">
        <v>1676</v>
      </c>
      <c r="Q7" s="116"/>
      <c r="R7" s="116"/>
      <c r="S7" s="117"/>
    </row>
    <row r="8" ht="15.75" customHeight="1">
      <c r="A8" s="107" t="s">
        <v>1677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9"/>
    </row>
    <row r="9" ht="39.75" customHeight="1">
      <c r="A9" s="118" t="s">
        <v>1616</v>
      </c>
      <c r="B9" s="118" t="s">
        <v>1678</v>
      </c>
      <c r="C9" s="118" t="s">
        <v>1679</v>
      </c>
      <c r="D9" s="118" t="s">
        <v>1606</v>
      </c>
      <c r="E9" s="118" t="s">
        <v>1608</v>
      </c>
      <c r="F9" s="118" t="s">
        <v>1680</v>
      </c>
      <c r="G9" s="118" t="s">
        <v>1681</v>
      </c>
      <c r="H9" s="118" t="s">
        <v>1682</v>
      </c>
      <c r="I9" s="118" t="s">
        <v>1633</v>
      </c>
      <c r="J9" s="118" t="s">
        <v>1635</v>
      </c>
      <c r="K9" s="118" t="s">
        <v>1683</v>
      </c>
      <c r="L9" s="118" t="s">
        <v>1644</v>
      </c>
      <c r="M9" s="109" t="s">
        <v>1684</v>
      </c>
      <c r="N9" s="118" t="s">
        <v>1685</v>
      </c>
      <c r="O9" s="118" t="s">
        <v>122</v>
      </c>
      <c r="P9" s="118" t="s">
        <v>1648</v>
      </c>
      <c r="Q9" s="118" t="s">
        <v>1686</v>
      </c>
      <c r="R9" s="118" t="s">
        <v>1653</v>
      </c>
      <c r="S9" s="119" t="s">
        <v>1655</v>
      </c>
      <c r="T9" s="120" t="s">
        <v>1655</v>
      </c>
      <c r="U9" s="94" t="s">
        <v>1687</v>
      </c>
      <c r="V9" s="94" t="s">
        <v>1688</v>
      </c>
      <c r="W9" s="94" t="s">
        <v>1689</v>
      </c>
    </row>
    <row r="10" s="121" customFormat="1" ht="15.6">
      <c r="A10" s="122">
        <v>1</v>
      </c>
      <c r="B10" s="123"/>
      <c r="C10" s="124"/>
      <c r="D10" s="125"/>
      <c r="E10" s="125"/>
      <c r="F10" s="126"/>
      <c r="G10" s="127"/>
      <c r="H10" s="128"/>
      <c r="I10" s="129"/>
      <c r="J10" s="129"/>
      <c r="K10" s="129"/>
      <c r="L10" s="129" t="s">
        <v>139</v>
      </c>
      <c r="M10" s="130" t="str">
        <f>VLOOKUP(L10,SEDES!A:T,7,)</f>
        <v xml:space="preserve"> </v>
      </c>
      <c r="N10" s="131" t="str">
        <f>VLOOKUP(L10,SEDES!A:T,2,)</f>
        <v xml:space="preserve"> </v>
      </c>
      <c r="O10" s="130" t="str">
        <f>VLOOKUP(L10,SEDES!A:T,4,)</f>
        <v xml:space="preserve"> </v>
      </c>
      <c r="P10" s="129"/>
      <c r="Q10" s="132"/>
      <c r="R10" s="133"/>
      <c r="S10" s="134"/>
      <c r="T10" s="103"/>
    </row>
    <row r="11" s="121" customFormat="1" ht="15.6">
      <c r="A11" s="122">
        <v>2</v>
      </c>
      <c r="B11" s="123"/>
      <c r="C11" s="135"/>
      <c r="D11" s="136"/>
      <c r="E11" s="136"/>
      <c r="F11" s="126"/>
      <c r="G11" s="127"/>
      <c r="H11" s="128"/>
      <c r="I11" s="129"/>
      <c r="J11" s="129"/>
      <c r="K11" s="129"/>
      <c r="L11" s="129" t="s">
        <v>139</v>
      </c>
      <c r="M11" s="130" t="str">
        <f>VLOOKUP(L11,SEDES!A:T,7,)</f>
        <v xml:space="preserve"> </v>
      </c>
      <c r="N11" s="131" t="str">
        <f>VLOOKUP(L11,SEDES!A:T,2,)</f>
        <v xml:space="preserve"> </v>
      </c>
      <c r="O11" s="130" t="str">
        <f>VLOOKUP(L11,SEDES!A:T,4,)</f>
        <v xml:space="preserve"> </v>
      </c>
      <c r="P11" s="129"/>
      <c r="Q11" s="132"/>
      <c r="R11" s="133"/>
      <c r="S11" s="134"/>
      <c r="T11" s="103"/>
    </row>
    <row r="12" s="121" customFormat="1" ht="15.6">
      <c r="A12" s="122">
        <v>3</v>
      </c>
      <c r="B12" s="123"/>
      <c r="C12" s="137"/>
      <c r="D12" s="136"/>
      <c r="E12" s="136"/>
      <c r="F12" s="126"/>
      <c r="G12" s="127"/>
      <c r="H12" s="128"/>
      <c r="I12" s="129"/>
      <c r="J12" s="129"/>
      <c r="K12" s="129"/>
      <c r="L12" s="129" t="s">
        <v>139</v>
      </c>
      <c r="M12" s="130" t="str">
        <f>VLOOKUP(L12,SEDES!A:T,7,)</f>
        <v xml:space="preserve"> </v>
      </c>
      <c r="N12" s="131" t="str">
        <f>VLOOKUP(L12,SEDES!A:T,2,)</f>
        <v xml:space="preserve"> </v>
      </c>
      <c r="O12" s="130" t="str">
        <f>VLOOKUP(L12,SEDES!A:T,4,)</f>
        <v xml:space="preserve"> </v>
      </c>
      <c r="P12" s="129"/>
      <c r="Q12" s="132"/>
      <c r="R12" s="133"/>
      <c r="S12" s="134"/>
      <c r="T12" s="103"/>
    </row>
    <row r="13" s="121" customFormat="1" ht="15.6">
      <c r="A13" s="122">
        <v>4</v>
      </c>
      <c r="B13" s="123"/>
      <c r="C13" s="137"/>
      <c r="D13" s="138"/>
      <c r="E13" s="138"/>
      <c r="F13" s="139"/>
      <c r="G13" s="139"/>
      <c r="H13" s="140"/>
      <c r="I13" s="129"/>
      <c r="J13" s="129"/>
      <c r="K13" s="129"/>
      <c r="L13" s="129" t="s">
        <v>139</v>
      </c>
      <c r="M13" s="130" t="str">
        <f>VLOOKUP(L13,SEDES!A:T,7,)</f>
        <v xml:space="preserve"> </v>
      </c>
      <c r="N13" s="131" t="str">
        <f>VLOOKUP(L13,SEDES!A:T,2,)</f>
        <v xml:space="preserve"> </v>
      </c>
      <c r="O13" s="130" t="str">
        <f>VLOOKUP(L13,SEDES!A:T,4,)</f>
        <v xml:space="preserve"> </v>
      </c>
      <c r="P13" s="129"/>
      <c r="Q13" s="132"/>
      <c r="R13" s="133"/>
      <c r="S13" s="134"/>
      <c r="T13" s="103"/>
    </row>
    <row r="14" s="121" customFormat="1" ht="15.6">
      <c r="A14" s="122">
        <v>5</v>
      </c>
      <c r="B14" s="123"/>
      <c r="C14" s="103"/>
      <c r="D14" s="138"/>
      <c r="E14" s="138"/>
      <c r="F14" s="139"/>
      <c r="G14" s="139"/>
      <c r="H14" s="140"/>
      <c r="I14" s="129"/>
      <c r="J14" s="129"/>
      <c r="K14" s="129"/>
      <c r="L14" s="129" t="s">
        <v>139</v>
      </c>
      <c r="M14" s="130" t="str">
        <f>VLOOKUP(L14,SEDES!A:T,7,)</f>
        <v xml:space="preserve"> </v>
      </c>
      <c r="N14" s="131" t="str">
        <f>VLOOKUP(L14,SEDES!A:T,2,)</f>
        <v xml:space="preserve"> </v>
      </c>
      <c r="O14" s="130" t="str">
        <f>VLOOKUP(L14,SEDES!A:T,4,)</f>
        <v xml:space="preserve"> </v>
      </c>
      <c r="P14" s="129"/>
      <c r="Q14" s="132"/>
      <c r="R14" s="133"/>
      <c r="S14" s="134"/>
      <c r="T14" s="103"/>
    </row>
    <row r="15" s="121" customFormat="1" ht="15.6">
      <c r="A15" s="122">
        <v>6</v>
      </c>
      <c r="B15" s="123"/>
      <c r="C15" s="137"/>
      <c r="D15" s="139"/>
      <c r="E15" s="139"/>
      <c r="F15" s="139"/>
      <c r="G15" s="139"/>
      <c r="H15" s="140"/>
      <c r="I15" s="129"/>
      <c r="J15" s="129"/>
      <c r="K15" s="129"/>
      <c r="L15" s="129" t="s">
        <v>139</v>
      </c>
      <c r="M15" s="130" t="str">
        <f>VLOOKUP(L15,SEDES!A:T,7,)</f>
        <v xml:space="preserve"> </v>
      </c>
      <c r="N15" s="131" t="str">
        <f>VLOOKUP(L15,SEDES!A:T,2,)</f>
        <v xml:space="preserve"> </v>
      </c>
      <c r="O15" s="130" t="str">
        <f>VLOOKUP(L15,SEDES!A:T,4,)</f>
        <v xml:space="preserve"> </v>
      </c>
      <c r="P15" s="129"/>
      <c r="Q15" s="132"/>
      <c r="R15" s="133"/>
      <c r="S15" s="134"/>
      <c r="T15" s="103"/>
    </row>
    <row r="16" s="121" customFormat="1" ht="15.6">
      <c r="A16" s="122">
        <v>7</v>
      </c>
      <c r="B16" s="123"/>
      <c r="C16" s="137"/>
      <c r="D16" s="139"/>
      <c r="E16" s="139"/>
      <c r="F16" s="139"/>
      <c r="G16" s="139"/>
      <c r="H16" s="140"/>
      <c r="I16" s="129"/>
      <c r="J16" s="129"/>
      <c r="K16" s="129"/>
      <c r="L16" s="129" t="s">
        <v>139</v>
      </c>
      <c r="M16" s="130" t="str">
        <f>VLOOKUP(L16,SEDES!A:T,7,)</f>
        <v xml:space="preserve"> </v>
      </c>
      <c r="N16" s="131" t="str">
        <f>VLOOKUP(L16,SEDES!A:T,2,)</f>
        <v xml:space="preserve"> </v>
      </c>
      <c r="O16" s="130" t="str">
        <f>VLOOKUP(L16,SEDES!A:T,4,)</f>
        <v xml:space="preserve"> </v>
      </c>
      <c r="P16" s="129"/>
      <c r="Q16" s="132"/>
      <c r="R16" s="133"/>
      <c r="T16" s="103"/>
    </row>
    <row r="17" s="121" customFormat="1" ht="15.6">
      <c r="A17" s="122">
        <v>8</v>
      </c>
      <c r="B17" s="123"/>
      <c r="C17" s="137"/>
      <c r="D17" s="139"/>
      <c r="E17" s="139"/>
      <c r="F17" s="139"/>
      <c r="G17" s="139"/>
      <c r="H17" s="140"/>
      <c r="I17" s="129"/>
      <c r="J17" s="129"/>
      <c r="K17" s="129"/>
      <c r="L17" s="129" t="s">
        <v>139</v>
      </c>
      <c r="M17" s="130" t="str">
        <f>VLOOKUP(L17,SEDES!A:T,7,)</f>
        <v xml:space="preserve"> </v>
      </c>
      <c r="N17" s="131" t="str">
        <f>VLOOKUP(L17,SEDES!A:T,2,)</f>
        <v xml:space="preserve"> </v>
      </c>
      <c r="O17" s="130" t="str">
        <f>VLOOKUP(L17,SEDES!A:T,4,)</f>
        <v xml:space="preserve"> </v>
      </c>
      <c r="P17" s="129"/>
      <c r="Q17" s="132"/>
      <c r="R17" s="133"/>
      <c r="T17" s="103"/>
    </row>
    <row r="18" s="121" customFormat="1" ht="15.6">
      <c r="A18" s="122">
        <v>9</v>
      </c>
      <c r="B18" s="123"/>
      <c r="C18" s="137"/>
      <c r="D18" s="139"/>
      <c r="E18" s="139"/>
      <c r="F18" s="139"/>
      <c r="G18" s="139"/>
      <c r="H18" s="140"/>
      <c r="I18" s="129"/>
      <c r="J18" s="129"/>
      <c r="K18" s="129"/>
      <c r="L18" s="129" t="s">
        <v>139</v>
      </c>
      <c r="M18" s="130" t="str">
        <f>VLOOKUP(L18,SEDES!A:T,7,)</f>
        <v xml:space="preserve"> </v>
      </c>
      <c r="N18" s="131" t="str">
        <f>VLOOKUP(L18,SEDES!A:T,2,)</f>
        <v xml:space="preserve"> </v>
      </c>
      <c r="O18" s="130" t="str">
        <f>VLOOKUP(L18,SEDES!A:T,4,)</f>
        <v xml:space="preserve"> </v>
      </c>
      <c r="P18" s="129"/>
      <c r="Q18" s="132"/>
      <c r="R18" s="133"/>
      <c r="T18" s="103"/>
    </row>
    <row r="19" s="121" customFormat="1" ht="15.6">
      <c r="A19" s="122">
        <v>10</v>
      </c>
      <c r="B19" s="123"/>
      <c r="C19" s="137"/>
      <c r="D19" s="139"/>
      <c r="E19" s="139"/>
      <c r="F19" s="139"/>
      <c r="G19" s="139"/>
      <c r="H19" s="140"/>
      <c r="I19" s="129"/>
      <c r="J19" s="129"/>
      <c r="K19" s="129"/>
      <c r="L19" s="129" t="s">
        <v>139</v>
      </c>
      <c r="M19" s="130" t="str">
        <f>VLOOKUP(L19,SEDES!A:T,7,)</f>
        <v xml:space="preserve"> </v>
      </c>
      <c r="N19" s="131" t="str">
        <f>VLOOKUP(L19,SEDES!A:T,2,)</f>
        <v xml:space="preserve"> </v>
      </c>
      <c r="O19" s="130" t="str">
        <f>VLOOKUP(L19,SEDES!A:T,4,)</f>
        <v xml:space="preserve"> </v>
      </c>
      <c r="P19" s="129"/>
      <c r="Q19" s="132"/>
      <c r="R19" s="133"/>
      <c r="T19" s="103"/>
    </row>
    <row r="20" s="121" customFormat="1" ht="15.6">
      <c r="A20" s="122">
        <v>21</v>
      </c>
      <c r="B20" s="123"/>
      <c r="C20" s="137"/>
      <c r="D20" s="139"/>
      <c r="E20" s="139"/>
      <c r="F20" s="139"/>
      <c r="G20" s="139"/>
      <c r="H20" s="140"/>
      <c r="I20" s="129"/>
      <c r="J20" s="129"/>
      <c r="K20" s="129"/>
      <c r="L20" s="129" t="s">
        <v>139</v>
      </c>
      <c r="M20" s="130" t="str">
        <f>VLOOKUP(L20,SEDES!A:T,7,)</f>
        <v xml:space="preserve"> </v>
      </c>
      <c r="N20" s="131" t="str">
        <f>VLOOKUP(L20,SEDES!A:T,2,)</f>
        <v xml:space="preserve"> </v>
      </c>
      <c r="O20" s="130" t="str">
        <f>VLOOKUP(L20,SEDES!A:T,4,)</f>
        <v xml:space="preserve"> </v>
      </c>
      <c r="P20" s="129"/>
      <c r="Q20" s="132"/>
      <c r="R20" s="133"/>
      <c r="T20" s="103"/>
    </row>
    <row r="21" s="121" customFormat="1" ht="15.6">
      <c r="A21" s="122">
        <v>22</v>
      </c>
      <c r="B21" s="123"/>
      <c r="C21" s="137"/>
      <c r="D21" s="139"/>
      <c r="E21" s="139"/>
      <c r="F21" s="139"/>
      <c r="G21" s="139"/>
      <c r="H21" s="140"/>
      <c r="I21" s="129"/>
      <c r="J21" s="129"/>
      <c r="K21" s="129"/>
      <c r="L21" s="129" t="s">
        <v>139</v>
      </c>
      <c r="M21" s="130" t="str">
        <f>VLOOKUP(L21,SEDES!A:T,7,)</f>
        <v xml:space="preserve"> </v>
      </c>
      <c r="N21" s="131" t="str">
        <f>VLOOKUP(L21,SEDES!A:T,2,)</f>
        <v xml:space="preserve"> </v>
      </c>
      <c r="O21" s="130" t="str">
        <f>VLOOKUP(L21,SEDES!A:T,4,)</f>
        <v xml:space="preserve"> </v>
      </c>
      <c r="P21" s="129"/>
      <c r="Q21" s="132"/>
      <c r="R21" s="133"/>
      <c r="T21" s="103"/>
    </row>
    <row r="22" s="121" customFormat="1" ht="15.6">
      <c r="A22" s="122">
        <v>23</v>
      </c>
      <c r="B22" s="123"/>
      <c r="C22" s="137"/>
      <c r="D22" s="139"/>
      <c r="E22" s="139"/>
      <c r="F22" s="139"/>
      <c r="G22" s="139"/>
      <c r="H22" s="140"/>
      <c r="I22" s="129"/>
      <c r="J22" s="129"/>
      <c r="K22" s="129"/>
      <c r="L22" s="129" t="s">
        <v>139</v>
      </c>
      <c r="M22" s="130" t="str">
        <f>VLOOKUP(L22,SEDES!A:T,7,)</f>
        <v xml:space="preserve"> </v>
      </c>
      <c r="N22" s="131" t="str">
        <f>VLOOKUP(L22,SEDES!A:T,2,)</f>
        <v xml:space="preserve"> </v>
      </c>
      <c r="O22" s="130" t="str">
        <f>VLOOKUP(L22,SEDES!A:T,4,)</f>
        <v xml:space="preserve"> </v>
      </c>
      <c r="P22" s="129"/>
      <c r="Q22" s="132"/>
      <c r="R22" s="133"/>
      <c r="T22" s="103"/>
    </row>
    <row r="23" s="121" customFormat="1" ht="15.6">
      <c r="A23" s="122">
        <v>24</v>
      </c>
      <c r="B23" s="123"/>
      <c r="C23" s="137"/>
      <c r="D23" s="139"/>
      <c r="E23" s="139"/>
      <c r="F23" s="139"/>
      <c r="G23" s="139"/>
      <c r="H23" s="140"/>
      <c r="I23" s="129"/>
      <c r="J23" s="129"/>
      <c r="K23" s="129"/>
      <c r="L23" s="129" t="s">
        <v>139</v>
      </c>
      <c r="M23" s="130" t="str">
        <f>VLOOKUP(L23,SEDES!A:T,7,)</f>
        <v xml:space="preserve"> </v>
      </c>
      <c r="N23" s="131" t="str">
        <f>VLOOKUP(L23,SEDES!A:T,2,)</f>
        <v xml:space="preserve"> </v>
      </c>
      <c r="O23" s="130" t="str">
        <f>VLOOKUP(L23,SEDES!A:T,4,)</f>
        <v xml:space="preserve"> </v>
      </c>
      <c r="P23" s="129"/>
      <c r="Q23" s="132"/>
      <c r="R23" s="133"/>
      <c r="T23" s="103"/>
    </row>
    <row r="24" s="121" customFormat="1" ht="15.6">
      <c r="A24" s="122">
        <v>25</v>
      </c>
      <c r="B24" s="123"/>
      <c r="C24" s="137"/>
      <c r="D24" s="139"/>
      <c r="E24" s="139"/>
      <c r="F24" s="139"/>
      <c r="G24" s="139"/>
      <c r="H24" s="140"/>
      <c r="I24" s="129"/>
      <c r="J24" s="129"/>
      <c r="K24" s="129"/>
      <c r="L24" s="129" t="s">
        <v>139</v>
      </c>
      <c r="M24" s="130" t="str">
        <f>VLOOKUP(L24,SEDES!A:T,7,)</f>
        <v xml:space="preserve"> </v>
      </c>
      <c r="N24" s="131" t="str">
        <f>VLOOKUP(L24,SEDES!A:T,2,)</f>
        <v xml:space="preserve"> </v>
      </c>
      <c r="O24" s="130" t="str">
        <f>VLOOKUP(L24,SEDES!A:T,4,)</f>
        <v xml:space="preserve"> </v>
      </c>
      <c r="P24" s="129"/>
      <c r="Q24" s="132"/>
      <c r="R24" s="133"/>
      <c r="T24" s="103"/>
    </row>
    <row r="25" s="121" customFormat="1" ht="15.6">
      <c r="A25" s="122">
        <v>26</v>
      </c>
      <c r="B25" s="123"/>
      <c r="C25" s="137"/>
      <c r="D25" s="139"/>
      <c r="E25" s="139"/>
      <c r="F25" s="139"/>
      <c r="G25" s="139"/>
      <c r="H25" s="140"/>
      <c r="I25" s="129"/>
      <c r="J25" s="129"/>
      <c r="K25" s="129"/>
      <c r="L25" s="129" t="s">
        <v>139</v>
      </c>
      <c r="M25" s="130" t="str">
        <f>VLOOKUP(L25,SEDES!A:T,7,)</f>
        <v xml:space="preserve"> </v>
      </c>
      <c r="N25" s="131" t="str">
        <f>VLOOKUP(L25,SEDES!A:T,2,)</f>
        <v xml:space="preserve"> </v>
      </c>
      <c r="O25" s="130" t="str">
        <f>VLOOKUP(L25,SEDES!A:T,4,)</f>
        <v xml:space="preserve"> </v>
      </c>
      <c r="P25" s="129"/>
      <c r="Q25" s="132"/>
      <c r="R25" s="133"/>
      <c r="T25" s="103"/>
    </row>
    <row r="26" s="121" customFormat="1" ht="15.6">
      <c r="A26" s="122">
        <v>27</v>
      </c>
      <c r="B26" s="123"/>
      <c r="C26" s="137"/>
      <c r="D26" s="139"/>
      <c r="E26" s="139"/>
      <c r="F26" s="139"/>
      <c r="G26" s="139"/>
      <c r="H26" s="140"/>
      <c r="I26" s="129"/>
      <c r="J26" s="129"/>
      <c r="K26" s="129"/>
      <c r="L26" s="129" t="s">
        <v>139</v>
      </c>
      <c r="M26" s="130" t="str">
        <f>VLOOKUP(L26,SEDES!A:T,7,)</f>
        <v xml:space="preserve"> </v>
      </c>
      <c r="N26" s="131" t="str">
        <f>VLOOKUP(L26,SEDES!A:T,2,)</f>
        <v xml:space="preserve"> </v>
      </c>
      <c r="O26" s="130" t="str">
        <f>VLOOKUP(L26,SEDES!A:T,4,)</f>
        <v xml:space="preserve"> </v>
      </c>
      <c r="P26" s="129"/>
      <c r="Q26" s="132"/>
      <c r="R26" s="133"/>
      <c r="T26" s="103"/>
    </row>
    <row r="27" s="121" customFormat="1" ht="15.6">
      <c r="A27" s="122">
        <v>28</v>
      </c>
      <c r="B27" s="123"/>
      <c r="C27" s="137"/>
      <c r="D27" s="139"/>
      <c r="E27" s="139"/>
      <c r="F27" s="139"/>
      <c r="G27" s="139"/>
      <c r="H27" s="140"/>
      <c r="I27" s="129"/>
      <c r="J27" s="129"/>
      <c r="K27" s="129"/>
      <c r="L27" s="129" t="s">
        <v>139</v>
      </c>
      <c r="M27" s="130" t="str">
        <f>VLOOKUP(L27,SEDES!A:T,7,)</f>
        <v xml:space="preserve"> </v>
      </c>
      <c r="N27" s="131" t="str">
        <f>VLOOKUP(L27,SEDES!A:T,2,)</f>
        <v xml:space="preserve"> </v>
      </c>
      <c r="O27" s="130" t="str">
        <f>VLOOKUP(L27,SEDES!A:T,4,)</f>
        <v xml:space="preserve"> </v>
      </c>
      <c r="P27" s="129"/>
      <c r="Q27" s="132"/>
      <c r="R27" s="133"/>
      <c r="T27" s="103"/>
    </row>
    <row r="28" s="121" customFormat="1" ht="15.6">
      <c r="A28" s="122">
        <v>29</v>
      </c>
      <c r="B28" s="123"/>
      <c r="C28" s="137"/>
      <c r="D28" s="139"/>
      <c r="E28" s="139"/>
      <c r="F28" s="139"/>
      <c r="G28" s="139"/>
      <c r="H28" s="140"/>
      <c r="I28" s="129"/>
      <c r="J28" s="129"/>
      <c r="K28" s="129"/>
      <c r="L28" s="129" t="s">
        <v>139</v>
      </c>
      <c r="M28" s="130" t="str">
        <f>VLOOKUP(L28,SEDES!A:T,7,)</f>
        <v xml:space="preserve"> </v>
      </c>
      <c r="N28" s="131" t="str">
        <f>VLOOKUP(L28,SEDES!A:T,2,)</f>
        <v xml:space="preserve"> </v>
      </c>
      <c r="O28" s="130" t="str">
        <f>VLOOKUP(L28,SEDES!A:T,4,)</f>
        <v xml:space="preserve"> </v>
      </c>
      <c r="P28" s="129"/>
      <c r="Q28" s="132"/>
      <c r="R28" s="133"/>
      <c r="T28" s="103"/>
    </row>
    <row r="29" s="121" customFormat="1" ht="15.6">
      <c r="A29" s="122">
        <v>30</v>
      </c>
      <c r="B29" s="123"/>
      <c r="C29" s="137"/>
      <c r="D29" s="139"/>
      <c r="E29" s="139"/>
      <c r="F29" s="139"/>
      <c r="G29" s="139"/>
      <c r="H29" s="140"/>
      <c r="I29" s="129"/>
      <c r="J29" s="129"/>
      <c r="K29" s="129"/>
      <c r="L29" s="129" t="s">
        <v>139</v>
      </c>
      <c r="M29" s="130" t="str">
        <f>VLOOKUP(L29,SEDES!A:T,7,)</f>
        <v xml:space="preserve"> </v>
      </c>
      <c r="N29" s="131" t="str">
        <f>VLOOKUP(L29,SEDES!A:T,2,)</f>
        <v xml:space="preserve"> </v>
      </c>
      <c r="O29" s="130" t="str">
        <f>VLOOKUP(L29,SEDES!A:T,4,)</f>
        <v xml:space="preserve"> </v>
      </c>
      <c r="P29" s="129"/>
      <c r="Q29" s="132"/>
      <c r="R29" s="133"/>
      <c r="T29" s="103"/>
    </row>
    <row r="30" s="121" customFormat="1" ht="15.6">
      <c r="A30" s="122">
        <v>31</v>
      </c>
      <c r="B30" s="123"/>
      <c r="C30" s="137"/>
      <c r="D30" s="139"/>
      <c r="E30" s="139"/>
      <c r="F30" s="139"/>
      <c r="G30" s="139"/>
      <c r="H30" s="140"/>
      <c r="I30" s="129"/>
      <c r="J30" s="129"/>
      <c r="K30" s="129"/>
      <c r="L30" s="129" t="s">
        <v>139</v>
      </c>
      <c r="M30" s="130" t="str">
        <f>VLOOKUP(L30,SEDES!A:T,7,)</f>
        <v xml:space="preserve"> </v>
      </c>
      <c r="N30" s="131" t="str">
        <f>VLOOKUP(L30,SEDES!A:T,2,)</f>
        <v xml:space="preserve"> </v>
      </c>
      <c r="O30" s="130" t="str">
        <f>VLOOKUP(L30,SEDES!A:T,4,)</f>
        <v xml:space="preserve"> </v>
      </c>
      <c r="P30" s="129"/>
      <c r="Q30" s="132"/>
      <c r="R30" s="133"/>
      <c r="T30" s="103"/>
    </row>
    <row r="31" s="121" customFormat="1" ht="15.6">
      <c r="A31" s="122">
        <v>32</v>
      </c>
      <c r="B31" s="123"/>
      <c r="C31" s="137"/>
      <c r="D31" s="139"/>
      <c r="E31" s="139"/>
      <c r="F31" s="139"/>
      <c r="G31" s="139"/>
      <c r="H31" s="140"/>
      <c r="I31" s="129"/>
      <c r="J31" s="129"/>
      <c r="K31" s="129"/>
      <c r="L31" s="129" t="s">
        <v>139</v>
      </c>
      <c r="M31" s="130" t="str">
        <f>VLOOKUP(L31,SEDES!A:T,7,)</f>
        <v xml:space="preserve"> </v>
      </c>
      <c r="N31" s="131" t="str">
        <f>VLOOKUP(L31,SEDES!A:T,2,)</f>
        <v xml:space="preserve"> </v>
      </c>
      <c r="O31" s="130" t="str">
        <f>VLOOKUP(L31,SEDES!A:T,4,)</f>
        <v xml:space="preserve"> </v>
      </c>
      <c r="P31" s="129"/>
      <c r="Q31" s="132"/>
      <c r="R31" s="133"/>
      <c r="T31" s="103"/>
    </row>
    <row r="32" s="121" customFormat="1" ht="15.6">
      <c r="A32" s="122">
        <v>33</v>
      </c>
      <c r="B32" s="123"/>
      <c r="C32" s="137"/>
      <c r="D32" s="139"/>
      <c r="E32" s="139"/>
      <c r="F32" s="139"/>
      <c r="G32" s="139"/>
      <c r="H32" s="140"/>
      <c r="I32" s="129"/>
      <c r="J32" s="129"/>
      <c r="K32" s="129"/>
      <c r="L32" s="129" t="s">
        <v>139</v>
      </c>
      <c r="M32" s="130" t="str">
        <f>VLOOKUP(L32,SEDES!A:T,7,)</f>
        <v xml:space="preserve"> </v>
      </c>
      <c r="N32" s="131" t="str">
        <f>VLOOKUP(L32,SEDES!A:T,2,)</f>
        <v xml:space="preserve"> </v>
      </c>
      <c r="O32" s="130" t="str">
        <f>VLOOKUP(L32,SEDES!A:T,4,)</f>
        <v xml:space="preserve"> </v>
      </c>
      <c r="P32" s="129"/>
      <c r="Q32" s="132"/>
      <c r="R32" s="133"/>
      <c r="T32" s="103"/>
    </row>
    <row r="33" s="121" customFormat="1" ht="15.6">
      <c r="A33" s="122">
        <v>34</v>
      </c>
      <c r="B33" s="123"/>
      <c r="C33" s="137"/>
      <c r="D33" s="139"/>
      <c r="E33" s="139"/>
      <c r="F33" s="139"/>
      <c r="G33" s="139"/>
      <c r="H33" s="140"/>
      <c r="I33" s="129"/>
      <c r="J33" s="129"/>
      <c r="K33" s="129"/>
      <c r="L33" s="129" t="s">
        <v>139</v>
      </c>
      <c r="M33" s="130" t="str">
        <f>VLOOKUP(L33,SEDES!A:T,7,)</f>
        <v xml:space="preserve"> </v>
      </c>
      <c r="N33" s="131" t="str">
        <f>VLOOKUP(L33,SEDES!A:T,2,)</f>
        <v xml:space="preserve"> </v>
      </c>
      <c r="O33" s="130" t="str">
        <f>VLOOKUP(L33,SEDES!A:T,4,)</f>
        <v xml:space="preserve"> </v>
      </c>
      <c r="P33" s="129"/>
      <c r="Q33" s="132"/>
      <c r="R33" s="133"/>
      <c r="T33" s="103"/>
    </row>
    <row r="34" s="121" customFormat="1" ht="15.6">
      <c r="A34" s="122">
        <v>35</v>
      </c>
      <c r="B34" s="123"/>
      <c r="C34" s="137"/>
      <c r="D34" s="139"/>
      <c r="E34" s="139"/>
      <c r="F34" s="139"/>
      <c r="G34" s="139"/>
      <c r="H34" s="140"/>
      <c r="I34" s="129"/>
      <c r="J34" s="129"/>
      <c r="K34" s="129"/>
      <c r="L34" s="129" t="s">
        <v>139</v>
      </c>
      <c r="M34" s="130" t="str">
        <f>VLOOKUP(L34,SEDES!A:T,7,)</f>
        <v xml:space="preserve"> </v>
      </c>
      <c r="N34" s="131" t="str">
        <f>VLOOKUP(L34,SEDES!A:T,2,)</f>
        <v xml:space="preserve"> </v>
      </c>
      <c r="O34" s="130" t="str">
        <f>VLOOKUP(L34,SEDES!A:T,4,)</f>
        <v xml:space="preserve"> </v>
      </c>
      <c r="P34" s="129"/>
      <c r="Q34" s="132"/>
      <c r="R34" s="133"/>
      <c r="T34" s="103"/>
    </row>
    <row r="35" s="121" customFormat="1" ht="15.6">
      <c r="A35" s="122">
        <v>36</v>
      </c>
      <c r="B35" s="123"/>
      <c r="C35" s="137"/>
      <c r="D35" s="139"/>
      <c r="E35" s="139"/>
      <c r="F35" s="139"/>
      <c r="G35" s="139"/>
      <c r="H35" s="140"/>
      <c r="I35" s="129"/>
      <c r="J35" s="129"/>
      <c r="K35" s="129"/>
      <c r="L35" s="129" t="s">
        <v>139</v>
      </c>
      <c r="M35" s="130" t="str">
        <f>VLOOKUP(L35,SEDES!A:T,7,)</f>
        <v xml:space="preserve"> </v>
      </c>
      <c r="N35" s="131" t="str">
        <f>VLOOKUP(L35,SEDES!A:T,2,)</f>
        <v xml:space="preserve"> </v>
      </c>
      <c r="O35" s="130" t="str">
        <f>VLOOKUP(L35,SEDES!A:T,4,)</f>
        <v xml:space="preserve"> </v>
      </c>
      <c r="P35" s="129"/>
      <c r="Q35" s="132"/>
      <c r="R35" s="133"/>
      <c r="T35" s="103"/>
    </row>
    <row r="36" s="121" customFormat="1" ht="15.6">
      <c r="A36" s="122">
        <v>37</v>
      </c>
      <c r="B36" s="123"/>
      <c r="C36" s="137"/>
      <c r="D36" s="139"/>
      <c r="E36" s="139"/>
      <c r="F36" s="139"/>
      <c r="G36" s="139"/>
      <c r="H36" s="140"/>
      <c r="I36" s="129"/>
      <c r="J36" s="129"/>
      <c r="K36" s="129"/>
      <c r="L36" s="129" t="s">
        <v>139</v>
      </c>
      <c r="M36" s="130" t="str">
        <f>VLOOKUP(L36,SEDES!A:T,7,)</f>
        <v xml:space="preserve"> </v>
      </c>
      <c r="N36" s="131" t="str">
        <f>VLOOKUP(L36,SEDES!A:T,2,)</f>
        <v xml:space="preserve"> </v>
      </c>
      <c r="O36" s="130" t="str">
        <f>VLOOKUP(L36,SEDES!A:T,4,)</f>
        <v xml:space="preserve"> </v>
      </c>
      <c r="P36" s="129"/>
      <c r="Q36" s="132"/>
      <c r="R36" s="133"/>
      <c r="T36" s="103"/>
    </row>
    <row r="37" s="121" customFormat="1" ht="15.6">
      <c r="A37" s="122">
        <v>38</v>
      </c>
      <c r="B37" s="123"/>
      <c r="C37" s="137"/>
      <c r="D37" s="139"/>
      <c r="E37" s="139"/>
      <c r="F37" s="139"/>
      <c r="G37" s="139"/>
      <c r="H37" s="140"/>
      <c r="I37" s="129"/>
      <c r="J37" s="129"/>
      <c r="K37" s="129"/>
      <c r="L37" s="129" t="s">
        <v>139</v>
      </c>
      <c r="M37" s="130" t="str">
        <f>VLOOKUP(L37,SEDES!A:T,7,)</f>
        <v xml:space="preserve"> </v>
      </c>
      <c r="N37" s="131" t="str">
        <f>VLOOKUP(L37,SEDES!A:T,2,)</f>
        <v xml:space="preserve"> </v>
      </c>
      <c r="O37" s="130" t="str">
        <f>VLOOKUP(L37,SEDES!A:T,4,)</f>
        <v xml:space="preserve"> </v>
      </c>
      <c r="P37" s="129"/>
      <c r="Q37" s="132"/>
      <c r="R37" s="133"/>
      <c r="T37" s="103"/>
    </row>
    <row r="38" s="121" customFormat="1" ht="15.6">
      <c r="A38" s="122">
        <v>39</v>
      </c>
      <c r="B38" s="123"/>
      <c r="C38" s="137"/>
      <c r="D38" s="139"/>
      <c r="E38" s="139"/>
      <c r="F38" s="139"/>
      <c r="G38" s="139"/>
      <c r="H38" s="140"/>
      <c r="I38" s="129"/>
      <c r="J38" s="129"/>
      <c r="K38" s="129"/>
      <c r="L38" s="129" t="s">
        <v>139</v>
      </c>
      <c r="M38" s="130" t="str">
        <f>VLOOKUP(L38,SEDES!A:T,7,)</f>
        <v xml:space="preserve"> </v>
      </c>
      <c r="N38" s="131" t="str">
        <f>VLOOKUP(L38,SEDES!A:T,2,)</f>
        <v xml:space="preserve"> </v>
      </c>
      <c r="O38" s="130" t="str">
        <f>VLOOKUP(L38,SEDES!A:T,4,)</f>
        <v xml:space="preserve"> </v>
      </c>
      <c r="P38" s="129"/>
      <c r="Q38" s="132"/>
      <c r="R38" s="133"/>
      <c r="T38" s="103"/>
    </row>
    <row r="39" s="121" customFormat="1" ht="15.6">
      <c r="A39" s="122">
        <v>40</v>
      </c>
      <c r="B39" s="123"/>
      <c r="C39" s="137"/>
      <c r="D39" s="139"/>
      <c r="E39" s="139"/>
      <c r="F39" s="139"/>
      <c r="G39" s="139"/>
      <c r="H39" s="140"/>
      <c r="I39" s="129"/>
      <c r="J39" s="129"/>
      <c r="K39" s="129"/>
      <c r="L39" s="129" t="s">
        <v>139</v>
      </c>
      <c r="M39" s="130" t="str">
        <f>VLOOKUP(L39,SEDES!A:T,7,)</f>
        <v xml:space="preserve"> </v>
      </c>
      <c r="N39" s="131" t="str">
        <f>VLOOKUP(L39,SEDES!A:T,2,)</f>
        <v xml:space="preserve"> </v>
      </c>
      <c r="O39" s="130" t="str">
        <f>VLOOKUP(L39,SEDES!A:T,4,)</f>
        <v xml:space="preserve"> </v>
      </c>
      <c r="P39" s="129"/>
      <c r="Q39" s="132"/>
      <c r="R39" s="133"/>
      <c r="T39" s="103"/>
    </row>
    <row r="40" s="121" customFormat="1" ht="15.6">
      <c r="A40" s="122">
        <v>41</v>
      </c>
      <c r="B40" s="123"/>
      <c r="C40" s="137"/>
      <c r="D40" s="139"/>
      <c r="E40" s="139"/>
      <c r="F40" s="139"/>
      <c r="G40" s="139"/>
      <c r="H40" s="140"/>
      <c r="I40" s="129"/>
      <c r="J40" s="129"/>
      <c r="K40" s="129"/>
      <c r="L40" s="129" t="s">
        <v>139</v>
      </c>
      <c r="M40" s="130" t="str">
        <f>VLOOKUP(L40,SEDES!A:T,7,)</f>
        <v xml:space="preserve"> </v>
      </c>
      <c r="N40" s="131" t="str">
        <f>VLOOKUP(L40,SEDES!A:T,2,)</f>
        <v xml:space="preserve"> </v>
      </c>
      <c r="O40" s="130" t="str">
        <f>VLOOKUP(L40,SEDES!A:T,4,)</f>
        <v xml:space="preserve"> </v>
      </c>
      <c r="P40" s="129"/>
      <c r="Q40" s="132"/>
      <c r="R40" s="133"/>
      <c r="T40" s="103"/>
    </row>
    <row r="41" s="121" customFormat="1" ht="15.6">
      <c r="A41" s="122">
        <v>42</v>
      </c>
      <c r="B41" s="123"/>
      <c r="C41" s="137"/>
      <c r="D41" s="139"/>
      <c r="E41" s="139"/>
      <c r="F41" s="139"/>
      <c r="G41" s="139"/>
      <c r="H41" s="140"/>
      <c r="I41" s="129"/>
      <c r="J41" s="129"/>
      <c r="K41" s="129"/>
      <c r="L41" s="129" t="s">
        <v>139</v>
      </c>
      <c r="M41" s="130" t="str">
        <f>VLOOKUP(L41,SEDES!A:T,7,)</f>
        <v xml:space="preserve"> </v>
      </c>
      <c r="N41" s="131" t="str">
        <f>VLOOKUP(L41,SEDES!A:T,2,)</f>
        <v xml:space="preserve"> </v>
      </c>
      <c r="O41" s="130" t="str">
        <f>VLOOKUP(L41,SEDES!A:T,4,)</f>
        <v xml:space="preserve"> </v>
      </c>
      <c r="P41" s="129"/>
      <c r="Q41" s="132"/>
      <c r="R41" s="133"/>
      <c r="T41" s="103"/>
    </row>
    <row r="42" s="121" customFormat="1" ht="15.6">
      <c r="A42" s="122">
        <v>43</v>
      </c>
      <c r="B42" s="123"/>
      <c r="C42" s="137"/>
      <c r="D42" s="139"/>
      <c r="E42" s="139"/>
      <c r="F42" s="139"/>
      <c r="G42" s="139"/>
      <c r="H42" s="140"/>
      <c r="I42" s="129"/>
      <c r="J42" s="129"/>
      <c r="K42" s="129"/>
      <c r="L42" s="129" t="s">
        <v>139</v>
      </c>
      <c r="M42" s="130" t="str">
        <f>VLOOKUP(L42,SEDES!A:T,7,)</f>
        <v xml:space="preserve"> </v>
      </c>
      <c r="N42" s="131" t="str">
        <f>VLOOKUP(L42,SEDES!A:T,2,)</f>
        <v xml:space="preserve"> </v>
      </c>
      <c r="O42" s="130" t="str">
        <f>VLOOKUP(L42,SEDES!A:T,4,)</f>
        <v xml:space="preserve"> </v>
      </c>
      <c r="P42" s="129"/>
      <c r="Q42" s="132"/>
      <c r="R42" s="133"/>
      <c r="T42" s="103"/>
    </row>
    <row r="43" s="121" customFormat="1" ht="15.6">
      <c r="A43" s="122">
        <v>44</v>
      </c>
      <c r="B43" s="123"/>
      <c r="C43" s="137"/>
      <c r="D43" s="139"/>
      <c r="E43" s="139"/>
      <c r="F43" s="139"/>
      <c r="G43" s="139"/>
      <c r="H43" s="140"/>
      <c r="I43" s="129"/>
      <c r="J43" s="129"/>
      <c r="K43" s="129"/>
      <c r="L43" s="129" t="s">
        <v>139</v>
      </c>
      <c r="M43" s="130" t="str">
        <f>VLOOKUP(L43,SEDES!A:T,7,)</f>
        <v xml:space="preserve"> </v>
      </c>
      <c r="N43" s="131" t="str">
        <f>VLOOKUP(L43,SEDES!A:T,2,)</f>
        <v xml:space="preserve"> </v>
      </c>
      <c r="O43" s="130" t="str">
        <f>VLOOKUP(L43,SEDES!A:T,4,)</f>
        <v xml:space="preserve"> </v>
      </c>
      <c r="P43" s="129"/>
      <c r="Q43" s="132"/>
      <c r="R43" s="133"/>
      <c r="T43" s="103"/>
    </row>
    <row r="44" s="121" customFormat="1" ht="15.6">
      <c r="A44" s="122">
        <v>45</v>
      </c>
      <c r="B44" s="123"/>
      <c r="C44" s="137"/>
      <c r="D44" s="139"/>
      <c r="E44" s="139"/>
      <c r="F44" s="139"/>
      <c r="G44" s="139"/>
      <c r="H44" s="140"/>
      <c r="I44" s="129"/>
      <c r="J44" s="129"/>
      <c r="K44" s="129"/>
      <c r="L44" s="129" t="s">
        <v>139</v>
      </c>
      <c r="M44" s="130" t="str">
        <f>VLOOKUP(L44,SEDES!A:T,7,)</f>
        <v xml:space="preserve"> </v>
      </c>
      <c r="N44" s="131" t="str">
        <f>VLOOKUP(L44,SEDES!A:T,2,)</f>
        <v xml:space="preserve"> </v>
      </c>
      <c r="O44" s="130" t="str">
        <f>VLOOKUP(L44,SEDES!A:T,4,)</f>
        <v xml:space="preserve"> </v>
      </c>
      <c r="P44" s="129"/>
      <c r="Q44" s="132"/>
      <c r="R44" s="133"/>
      <c r="T44" s="103"/>
    </row>
    <row r="45" s="121" customFormat="1" ht="15.6">
      <c r="A45" s="122">
        <v>46</v>
      </c>
      <c r="B45" s="123"/>
      <c r="C45" s="137"/>
      <c r="D45" s="139"/>
      <c r="E45" s="139"/>
      <c r="F45" s="139"/>
      <c r="G45" s="139"/>
      <c r="H45" s="140"/>
      <c r="I45" s="129"/>
      <c r="J45" s="129"/>
      <c r="K45" s="129"/>
      <c r="L45" s="129" t="s">
        <v>139</v>
      </c>
      <c r="M45" s="130" t="str">
        <f>VLOOKUP(L45,SEDES!A:T,7,)</f>
        <v xml:space="preserve"> </v>
      </c>
      <c r="N45" s="131" t="str">
        <f>VLOOKUP(L45,SEDES!A:T,2,)</f>
        <v xml:space="preserve"> </v>
      </c>
      <c r="O45" s="130" t="str">
        <f>VLOOKUP(L45,SEDES!A:T,4,)</f>
        <v xml:space="preserve"> </v>
      </c>
      <c r="P45" s="129"/>
      <c r="Q45" s="132"/>
      <c r="R45" s="133"/>
      <c r="T45" s="103"/>
    </row>
    <row r="46" s="121" customFormat="1" ht="15.6">
      <c r="A46" s="122">
        <v>47</v>
      </c>
      <c r="B46" s="123"/>
      <c r="C46" s="137"/>
      <c r="D46" s="139"/>
      <c r="E46" s="139"/>
      <c r="F46" s="139"/>
      <c r="G46" s="139"/>
      <c r="H46" s="140"/>
      <c r="I46" s="129"/>
      <c r="J46" s="129"/>
      <c r="K46" s="129"/>
      <c r="L46" s="129" t="s">
        <v>139</v>
      </c>
      <c r="M46" s="130" t="str">
        <f>VLOOKUP(L46,SEDES!A:T,7,)</f>
        <v xml:space="preserve"> </v>
      </c>
      <c r="N46" s="131" t="str">
        <f>VLOOKUP(L46,SEDES!A:T,2,)</f>
        <v xml:space="preserve"> </v>
      </c>
      <c r="O46" s="130" t="str">
        <f>VLOOKUP(L46,SEDES!A:T,4,)</f>
        <v xml:space="preserve"> </v>
      </c>
      <c r="P46" s="129"/>
      <c r="Q46" s="132"/>
      <c r="R46" s="133"/>
      <c r="T46" s="103"/>
    </row>
    <row r="47" s="121" customFormat="1" ht="15.6">
      <c r="A47" s="122">
        <v>48</v>
      </c>
      <c r="B47" s="123"/>
      <c r="C47" s="137"/>
      <c r="D47" s="139"/>
      <c r="E47" s="139"/>
      <c r="F47" s="139"/>
      <c r="G47" s="139"/>
      <c r="H47" s="140"/>
      <c r="I47" s="129"/>
      <c r="J47" s="129"/>
      <c r="K47" s="129"/>
      <c r="L47" s="129" t="s">
        <v>139</v>
      </c>
      <c r="M47" s="130" t="str">
        <f>VLOOKUP(L47,SEDES!A:T,7,)</f>
        <v xml:space="preserve"> </v>
      </c>
      <c r="N47" s="131" t="str">
        <f>VLOOKUP(L47,SEDES!A:T,2,)</f>
        <v xml:space="preserve"> </v>
      </c>
      <c r="O47" s="130" t="str">
        <f>VLOOKUP(L47,SEDES!A:T,4,)</f>
        <v xml:space="preserve"> </v>
      </c>
      <c r="P47" s="129"/>
      <c r="Q47" s="132"/>
      <c r="R47" s="133"/>
      <c r="T47" s="103"/>
    </row>
    <row r="48" s="121" customFormat="1" ht="15.6">
      <c r="A48" s="122">
        <v>49</v>
      </c>
      <c r="B48" s="123"/>
      <c r="C48" s="137"/>
      <c r="D48" s="139"/>
      <c r="E48" s="139"/>
      <c r="F48" s="139"/>
      <c r="G48" s="139"/>
      <c r="H48" s="140"/>
      <c r="I48" s="129"/>
      <c r="J48" s="129"/>
      <c r="K48" s="129"/>
      <c r="L48" s="129" t="s">
        <v>139</v>
      </c>
      <c r="M48" s="130" t="str">
        <f>VLOOKUP(L48,SEDES!A:T,7,)</f>
        <v xml:space="preserve"> </v>
      </c>
      <c r="N48" s="131" t="str">
        <f>VLOOKUP(L48,SEDES!A:T,2,)</f>
        <v xml:space="preserve"> </v>
      </c>
      <c r="O48" s="130" t="str">
        <f>VLOOKUP(L48,SEDES!A:T,4,)</f>
        <v xml:space="preserve"> </v>
      </c>
      <c r="P48" s="129"/>
      <c r="Q48" s="132"/>
      <c r="R48" s="133"/>
      <c r="T48" s="103"/>
    </row>
    <row r="49" s="121" customFormat="1" ht="15.6">
      <c r="A49" s="122">
        <v>50</v>
      </c>
      <c r="B49" s="123"/>
      <c r="C49" s="137"/>
      <c r="D49" s="139"/>
      <c r="E49" s="139"/>
      <c r="F49" s="139"/>
      <c r="G49" s="139"/>
      <c r="H49" s="140"/>
      <c r="I49" s="129"/>
      <c r="J49" s="129"/>
      <c r="K49" s="129"/>
      <c r="L49" s="129" t="s">
        <v>139</v>
      </c>
      <c r="M49" s="130" t="str">
        <f>VLOOKUP(L49,SEDES!A:T,7,)</f>
        <v xml:space="preserve"> </v>
      </c>
      <c r="N49" s="131" t="str">
        <f>VLOOKUP(L49,SEDES!A:T,2,)</f>
        <v xml:space="preserve"> </v>
      </c>
      <c r="O49" s="130" t="str">
        <f>VLOOKUP(L49,SEDES!A:T,4,)</f>
        <v xml:space="preserve"> </v>
      </c>
      <c r="P49" s="129"/>
      <c r="Q49" s="132"/>
      <c r="R49" s="133"/>
      <c r="T49" s="103"/>
    </row>
    <row r="50" s="95" customFormat="1" ht="15.75" customHeight="1">
      <c r="A50" s="141" t="s">
        <v>1690</v>
      </c>
      <c r="B50" s="142"/>
      <c r="C50" s="142"/>
      <c r="D50" s="142"/>
      <c r="E50" s="142"/>
      <c r="F50" s="142"/>
      <c r="G50" s="142"/>
      <c r="H50" s="142"/>
      <c r="I50" s="143"/>
      <c r="J50" s="141" t="s">
        <v>1691</v>
      </c>
      <c r="K50" s="142"/>
      <c r="L50" s="142"/>
      <c r="M50" s="142"/>
      <c r="N50" s="142"/>
      <c r="O50" s="142"/>
      <c r="P50" s="142"/>
      <c r="Q50" s="142"/>
      <c r="R50" s="142"/>
      <c r="S50" s="143"/>
    </row>
    <row r="51" s="95" customFormat="1" ht="15.6">
      <c r="A51" s="118" t="s">
        <v>1616</v>
      </c>
      <c r="B51" s="144" t="s">
        <v>1692</v>
      </c>
      <c r="C51" s="118" t="s">
        <v>1660</v>
      </c>
      <c r="D51" s="107" t="s">
        <v>1662</v>
      </c>
      <c r="E51" s="109"/>
      <c r="F51" s="107" t="s">
        <v>1664</v>
      </c>
      <c r="G51" s="108"/>
      <c r="H51" s="108"/>
      <c r="I51" s="109"/>
      <c r="J51" s="145"/>
      <c r="K51" s="145"/>
      <c r="L51" s="145"/>
      <c r="M51" s="145"/>
      <c r="N51" s="145"/>
      <c r="O51" s="145"/>
      <c r="P51" s="145"/>
      <c r="Q51" s="145"/>
      <c r="R51" s="145"/>
      <c r="S51" s="145"/>
    </row>
    <row r="52" s="95" customFormat="1" ht="14.449999999999999">
      <c r="A52" s="146">
        <v>1</v>
      </c>
      <c r="B52" s="147"/>
      <c r="C52" s="148"/>
      <c r="D52" s="149"/>
      <c r="E52" s="150"/>
      <c r="F52" s="151"/>
      <c r="G52" s="152"/>
      <c r="H52" s="152"/>
      <c r="I52" s="153"/>
      <c r="J52" s="145"/>
      <c r="K52" s="145"/>
      <c r="L52" s="145"/>
      <c r="M52" s="145"/>
      <c r="N52" s="145"/>
      <c r="O52" s="145"/>
      <c r="P52" s="145"/>
      <c r="Q52" s="145"/>
      <c r="R52" s="145"/>
      <c r="S52" s="145"/>
    </row>
    <row r="53" s="95" customFormat="1" ht="14.449999999999999">
      <c r="A53" s="154">
        <v>2</v>
      </c>
      <c r="B53" s="147"/>
      <c r="C53" s="155"/>
      <c r="D53" s="149"/>
      <c r="E53" s="150"/>
      <c r="F53" s="151"/>
      <c r="G53" s="152"/>
      <c r="H53" s="152"/>
      <c r="I53" s="153"/>
      <c r="J53" s="145"/>
      <c r="K53" s="145"/>
      <c r="L53" s="145"/>
      <c r="M53" s="145"/>
      <c r="N53" s="145"/>
      <c r="O53" s="145"/>
      <c r="P53" s="145"/>
      <c r="Q53" s="145"/>
      <c r="R53" s="145"/>
      <c r="S53" s="145"/>
    </row>
    <row r="54" s="95" customFormat="1" ht="14.449999999999999">
      <c r="A54" s="154">
        <v>3</v>
      </c>
      <c r="B54" s="147"/>
      <c r="C54" s="155"/>
      <c r="D54" s="149"/>
      <c r="E54" s="150"/>
      <c r="F54" s="151"/>
      <c r="G54" s="152"/>
      <c r="H54" s="152"/>
      <c r="I54" s="153"/>
      <c r="J54" s="145"/>
      <c r="K54" s="145"/>
      <c r="L54" s="145"/>
      <c r="M54" s="145"/>
      <c r="N54" s="145"/>
      <c r="O54" s="145"/>
      <c r="P54" s="145"/>
      <c r="Q54" s="145"/>
      <c r="R54" s="145"/>
      <c r="S54" s="145"/>
    </row>
    <row r="55" s="95" customFormat="1" ht="14.449999999999999">
      <c r="A55" s="154">
        <v>4</v>
      </c>
      <c r="B55" s="147"/>
      <c r="C55" s="155"/>
      <c r="D55" s="149"/>
      <c r="E55" s="150"/>
      <c r="F55" s="151"/>
      <c r="G55" s="152"/>
      <c r="H55" s="152"/>
      <c r="I55" s="153"/>
      <c r="J55" s="145"/>
      <c r="K55" s="145"/>
      <c r="L55" s="145"/>
      <c r="M55" s="145"/>
      <c r="N55" s="145"/>
      <c r="O55" s="145"/>
      <c r="P55" s="145"/>
      <c r="Q55" s="145"/>
      <c r="R55" s="145"/>
      <c r="S55" s="145"/>
    </row>
    <row r="56" s="148" customFormat="1" ht="14.449999999999999">
      <c r="A56" s="146">
        <v>5</v>
      </c>
      <c r="B56" s="147"/>
      <c r="D56" s="149"/>
      <c r="E56" s="150"/>
      <c r="F56" s="151"/>
      <c r="G56" s="152"/>
      <c r="H56" s="152"/>
      <c r="I56" s="153"/>
      <c r="J56" s="145"/>
      <c r="K56" s="145"/>
      <c r="L56" s="145"/>
      <c r="M56" s="145"/>
      <c r="N56" s="145"/>
      <c r="O56" s="145"/>
      <c r="P56" s="145"/>
      <c r="Q56" s="145"/>
      <c r="R56" s="145"/>
      <c r="S56" s="145"/>
    </row>
    <row r="57" ht="135" customHeight="1">
      <c r="A57" s="156" t="s">
        <v>1693</v>
      </c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8"/>
    </row>
    <row r="83" ht="55.149999999999999" hidden="1">
      <c r="U83" s="94" t="s">
        <v>1694</v>
      </c>
      <c r="V83" s="94" t="s">
        <v>357</v>
      </c>
      <c r="W83" s="94" t="s">
        <v>954</v>
      </c>
      <c r="X83" s="94" t="s">
        <v>1065</v>
      </c>
      <c r="Y83" s="94" t="s">
        <v>176</v>
      </c>
      <c r="Z83" s="94" t="s">
        <v>281</v>
      </c>
      <c r="AA83" s="94" t="s">
        <v>1695</v>
      </c>
      <c r="AB83" s="94" t="s">
        <v>1456</v>
      </c>
      <c r="AC83" s="94" t="s">
        <v>1008</v>
      </c>
      <c r="AD83" s="94" t="s">
        <v>765</v>
      </c>
      <c r="AE83" s="94" t="s">
        <v>1567</v>
      </c>
      <c r="AF83" s="94" t="s">
        <v>1231</v>
      </c>
      <c r="AG83" s="94" t="s">
        <v>1534</v>
      </c>
      <c r="AH83" s="94" t="s">
        <v>1294</v>
      </c>
      <c r="AI83" s="94" t="s">
        <v>1696</v>
      </c>
      <c r="AJ83" s="94" t="s">
        <v>371</v>
      </c>
      <c r="AK83" s="94" t="s">
        <v>375</v>
      </c>
      <c r="AL83" s="94" t="s">
        <v>870</v>
      </c>
      <c r="AM83" s="94" t="s">
        <v>1301</v>
      </c>
      <c r="AN83" s="94" t="s">
        <v>1363</v>
      </c>
      <c r="AO83" s="94" t="s">
        <v>1140</v>
      </c>
      <c r="AP83" s="94" t="s">
        <v>1385</v>
      </c>
      <c r="AQ83" s="94" t="s">
        <v>1551</v>
      </c>
      <c r="AR83" s="94" t="s">
        <v>1184</v>
      </c>
      <c r="AS83" s="94" t="s">
        <v>679</v>
      </c>
      <c r="AT83" s="94" t="s">
        <v>1264</v>
      </c>
      <c r="AU83" s="94" t="s">
        <v>211</v>
      </c>
      <c r="AV83" s="94" t="s">
        <v>1198</v>
      </c>
      <c r="AW83" s="94" t="s">
        <v>1697</v>
      </c>
      <c r="AX83" s="94" t="s">
        <v>452</v>
      </c>
      <c r="AY83" s="94" t="s">
        <v>1419</v>
      </c>
      <c r="AZ83" s="94" t="s">
        <v>862</v>
      </c>
      <c r="BA83" s="94" t="s">
        <v>553</v>
      </c>
      <c r="BB83" s="94" t="s">
        <v>1095</v>
      </c>
      <c r="BC83" s="94" t="s">
        <v>1275</v>
      </c>
      <c r="BD83" s="94" t="s">
        <v>397</v>
      </c>
    </row>
    <row r="84" ht="55.149999999999999" hidden="1">
      <c r="U84" s="94" t="s">
        <v>357</v>
      </c>
      <c r="V84" s="94" t="s">
        <v>357</v>
      </c>
      <c r="W84" s="94" t="s">
        <v>954</v>
      </c>
      <c r="X84" s="94" t="s">
        <v>1065</v>
      </c>
      <c r="Y84" s="94" t="s">
        <v>176</v>
      </c>
      <c r="Z84" s="94" t="s">
        <v>281</v>
      </c>
      <c r="AA84" s="94" t="s">
        <v>600</v>
      </c>
      <c r="AB84" s="94" t="s">
        <v>628</v>
      </c>
      <c r="AC84" s="94" t="s">
        <v>1008</v>
      </c>
      <c r="AD84" s="94" t="s">
        <v>765</v>
      </c>
      <c r="AE84" s="94" t="s">
        <v>1567</v>
      </c>
      <c r="AF84" s="94" t="s">
        <v>1231</v>
      </c>
      <c r="AG84" s="94" t="s">
        <v>1534</v>
      </c>
      <c r="AH84" s="94" t="s">
        <v>1294</v>
      </c>
      <c r="AI84" s="94" t="s">
        <v>1125</v>
      </c>
      <c r="AJ84" s="94" t="s">
        <v>371</v>
      </c>
      <c r="AK84" s="94" t="s">
        <v>375</v>
      </c>
      <c r="AL84" s="94" t="s">
        <v>870</v>
      </c>
      <c r="AM84" s="94" t="s">
        <v>1301</v>
      </c>
      <c r="AN84" s="94" t="s">
        <v>1361</v>
      </c>
      <c r="AO84" s="94" t="s">
        <v>1140</v>
      </c>
      <c r="AP84" s="94" t="s">
        <v>1381</v>
      </c>
      <c r="AQ84" s="94" t="s">
        <v>1551</v>
      </c>
      <c r="AR84" s="94" t="s">
        <v>1184</v>
      </c>
      <c r="AS84" s="94" t="s">
        <v>1170</v>
      </c>
      <c r="AT84" s="94" t="s">
        <v>1264</v>
      </c>
      <c r="AU84" s="94" t="s">
        <v>197</v>
      </c>
      <c r="AV84" s="94" t="s">
        <v>1198</v>
      </c>
      <c r="AW84" s="94" t="s">
        <v>1339</v>
      </c>
      <c r="AX84" s="94" t="s">
        <v>452</v>
      </c>
      <c r="AY84" s="94" t="s">
        <v>1419</v>
      </c>
      <c r="AZ84" s="94" t="s">
        <v>857</v>
      </c>
      <c r="BA84" s="94" t="s">
        <v>553</v>
      </c>
      <c r="BB84" s="94" t="s">
        <v>1095</v>
      </c>
      <c r="BC84" s="94" t="s">
        <v>1275</v>
      </c>
      <c r="BD84" s="94" t="s">
        <v>398</v>
      </c>
    </row>
    <row r="85" ht="41.450000000000003" hidden="1">
      <c r="U85" s="94" t="s">
        <v>954</v>
      </c>
      <c r="V85" s="94" t="s">
        <v>358</v>
      </c>
      <c r="W85" s="94" t="s">
        <v>950</v>
      </c>
      <c r="X85" s="94" t="s">
        <v>1080</v>
      </c>
      <c r="Y85" s="94" t="s">
        <v>1466</v>
      </c>
      <c r="Z85" s="94" t="s">
        <v>1324</v>
      </c>
      <c r="AA85" s="94" t="s">
        <v>599</v>
      </c>
      <c r="AB85" s="94" t="s">
        <v>1698</v>
      </c>
      <c r="AC85" s="94" t="s">
        <v>1014</v>
      </c>
      <c r="AD85" s="94" t="s">
        <v>759</v>
      </c>
      <c r="AE85" s="94" t="s">
        <v>1187</v>
      </c>
      <c r="AF85" s="94" t="s">
        <v>1223</v>
      </c>
      <c r="AG85" s="94" t="s">
        <v>918</v>
      </c>
      <c r="AH85" s="94" t="s">
        <v>882</v>
      </c>
      <c r="AI85" s="94" t="s">
        <v>1699</v>
      </c>
      <c r="AJ85" s="94" t="s">
        <v>1561</v>
      </c>
      <c r="AK85" s="94" t="s">
        <v>393</v>
      </c>
      <c r="AL85" s="94" t="s">
        <v>866</v>
      </c>
      <c r="AM85" s="94" t="s">
        <v>1141</v>
      </c>
      <c r="AN85" s="94" t="s">
        <v>1363</v>
      </c>
      <c r="AO85" s="94" t="s">
        <v>1141</v>
      </c>
      <c r="AP85" s="94" t="s">
        <v>1700</v>
      </c>
      <c r="AQ85" s="94" t="s">
        <v>1552</v>
      </c>
      <c r="AR85" s="94" t="s">
        <v>1701</v>
      </c>
      <c r="AS85" s="94" t="s">
        <v>1148</v>
      </c>
      <c r="AT85" s="94" t="s">
        <v>1102</v>
      </c>
      <c r="AU85" s="94" t="s">
        <v>211</v>
      </c>
      <c r="AV85" s="94" t="s">
        <v>1199</v>
      </c>
      <c r="AW85" s="94" t="s">
        <v>1257</v>
      </c>
      <c r="AX85" s="94" t="s">
        <v>1193</v>
      </c>
      <c r="AY85" s="94" t="s">
        <v>1083</v>
      </c>
      <c r="AZ85" s="94" t="s">
        <v>862</v>
      </c>
      <c r="BA85" s="94" t="s">
        <v>570</v>
      </c>
      <c r="BB85" s="94" t="s">
        <v>1098</v>
      </c>
      <c r="BC85" s="94" t="s">
        <v>1702</v>
      </c>
    </row>
    <row r="86" ht="41.450000000000003" hidden="1">
      <c r="U86" s="94" t="s">
        <v>1065</v>
      </c>
      <c r="V86" s="94" t="s">
        <v>1703</v>
      </c>
      <c r="X86" s="94" t="s">
        <v>1704</v>
      </c>
      <c r="Y86" s="94" t="s">
        <v>1404</v>
      </c>
      <c r="Z86" s="94" t="s">
        <v>251</v>
      </c>
      <c r="AA86" s="94" t="s">
        <v>1353</v>
      </c>
      <c r="AB86" s="94" t="s">
        <v>1456</v>
      </c>
      <c r="AC86" s="94" t="s">
        <v>1269</v>
      </c>
      <c r="AD86" s="94" t="s">
        <v>759</v>
      </c>
      <c r="AE86" s="94" t="s">
        <v>1565</v>
      </c>
      <c r="AF86" s="94" t="s">
        <v>1705</v>
      </c>
      <c r="AG86" s="94" t="s">
        <v>1706</v>
      </c>
      <c r="AH86" s="94" t="s">
        <v>1288</v>
      </c>
      <c r="AI86" s="94" t="s">
        <v>1119</v>
      </c>
      <c r="AJ86" s="94" t="s">
        <v>1707</v>
      </c>
      <c r="AK86" s="94" t="s">
        <v>1708</v>
      </c>
      <c r="AM86" s="94" t="s">
        <v>969</v>
      </c>
      <c r="AN86" s="94" t="s">
        <v>1358</v>
      </c>
      <c r="AO86" s="94" t="s">
        <v>576</v>
      </c>
      <c r="AP86" s="94" t="s">
        <v>777</v>
      </c>
      <c r="AQ86" s="94" t="s">
        <v>838</v>
      </c>
      <c r="AR86" s="94" t="s">
        <v>873</v>
      </c>
      <c r="AS86" s="94" t="s">
        <v>679</v>
      </c>
      <c r="AT86" s="94" t="s">
        <v>1411</v>
      </c>
      <c r="AU86" s="94" t="s">
        <v>1709</v>
      </c>
      <c r="AV86" s="94" t="s">
        <v>720</v>
      </c>
      <c r="AW86" s="94" t="s">
        <v>1340</v>
      </c>
      <c r="AX86" s="94" t="s">
        <v>1217</v>
      </c>
      <c r="AY86" s="94" t="s">
        <v>665</v>
      </c>
      <c r="AZ86" s="94" t="s">
        <v>1083</v>
      </c>
      <c r="BA86" s="94" t="s">
        <v>493</v>
      </c>
      <c r="BB86" s="94" t="s">
        <v>1710</v>
      </c>
      <c r="BC86" s="94" t="s">
        <v>935</v>
      </c>
    </row>
    <row r="87" ht="55.149999999999999" hidden="1">
      <c r="U87" s="94" t="s">
        <v>176</v>
      </c>
      <c r="X87" s="94" t="s">
        <v>1373</v>
      </c>
      <c r="Y87" s="94" t="s">
        <v>183</v>
      </c>
      <c r="Z87" s="94" t="s">
        <v>1326</v>
      </c>
      <c r="AA87" s="94" t="s">
        <v>590</v>
      </c>
      <c r="AB87" s="94" t="s">
        <v>729</v>
      </c>
      <c r="AC87" s="94" t="s">
        <v>912</v>
      </c>
      <c r="AD87" s="94" t="s">
        <v>762</v>
      </c>
      <c r="AF87" s="94" t="s">
        <v>242</v>
      </c>
      <c r="AG87" s="94" t="s">
        <v>1529</v>
      </c>
      <c r="AH87" s="94" t="s">
        <v>1293</v>
      </c>
      <c r="AI87" s="94" t="s">
        <v>1128</v>
      </c>
      <c r="AJ87" s="94" t="s">
        <v>1711</v>
      </c>
      <c r="AK87" s="94" t="s">
        <v>1712</v>
      </c>
      <c r="AM87" s="94" t="s">
        <v>772</v>
      </c>
      <c r="AO87" s="94" t="s">
        <v>797</v>
      </c>
      <c r="AP87" s="94" t="s">
        <v>790</v>
      </c>
      <c r="AQ87" s="94" t="s">
        <v>1278</v>
      </c>
      <c r="AR87" s="94" t="s">
        <v>1501</v>
      </c>
      <c r="AS87" s="94" t="s">
        <v>1172</v>
      </c>
      <c r="AT87" s="94" t="s">
        <v>1282</v>
      </c>
      <c r="AU87" s="94" t="s">
        <v>191</v>
      </c>
      <c r="AV87" s="94" t="s">
        <v>724</v>
      </c>
      <c r="AW87" s="94" t="s">
        <v>1248</v>
      </c>
      <c r="AX87" s="94" t="s">
        <v>819</v>
      </c>
      <c r="AY87" s="94" t="s">
        <v>1713</v>
      </c>
      <c r="AZ87" s="94" t="s">
        <v>745</v>
      </c>
      <c r="BA87" s="94" t="s">
        <v>488</v>
      </c>
      <c r="BB87" s="94" t="s">
        <v>1714</v>
      </c>
      <c r="BC87" s="94" t="s">
        <v>1273</v>
      </c>
    </row>
    <row r="88" ht="41.450000000000003" hidden="1">
      <c r="U88" s="94" t="s">
        <v>281</v>
      </c>
      <c r="X88" s="94" t="s">
        <v>1715</v>
      </c>
      <c r="Y88" s="94" t="s">
        <v>186</v>
      </c>
      <c r="Z88" s="94" t="s">
        <v>283</v>
      </c>
      <c r="AA88" s="94" t="s">
        <v>595</v>
      </c>
      <c r="AB88" s="94" t="s">
        <v>1454</v>
      </c>
      <c r="AC88" s="94" t="s">
        <v>1016</v>
      </c>
      <c r="AD88" s="94" t="s">
        <v>753</v>
      </c>
      <c r="AF88" s="94" t="s">
        <v>843</v>
      </c>
      <c r="AG88" s="94" t="s">
        <v>142</v>
      </c>
      <c r="AI88" s="94" t="s">
        <v>1126</v>
      </c>
      <c r="AJ88" s="94" t="s">
        <v>1716</v>
      </c>
      <c r="AK88" s="94" t="s">
        <v>390</v>
      </c>
      <c r="AM88" s="94" t="s">
        <v>1717</v>
      </c>
      <c r="AO88" s="94" t="s">
        <v>928</v>
      </c>
      <c r="AP88" s="94" t="s">
        <v>1718</v>
      </c>
      <c r="AQ88" s="94" t="s">
        <v>1554</v>
      </c>
      <c r="AR88" s="94" t="s">
        <v>1496</v>
      </c>
      <c r="AS88" s="94" t="s">
        <v>682</v>
      </c>
      <c r="AT88" s="94" t="s">
        <v>1262</v>
      </c>
      <c r="AU88" s="94" t="s">
        <v>215</v>
      </c>
      <c r="AV88" s="94" t="s">
        <v>1390</v>
      </c>
      <c r="AW88" s="94" t="s">
        <v>1719</v>
      </c>
      <c r="AX88" s="94" t="s">
        <v>768</v>
      </c>
      <c r="AY88" s="94" t="s">
        <v>1423</v>
      </c>
      <c r="AZ88" s="94" t="s">
        <v>749</v>
      </c>
      <c r="BA88" s="94" t="s">
        <v>528</v>
      </c>
      <c r="BC88" s="94" t="s">
        <v>465</v>
      </c>
    </row>
    <row r="89" ht="41.450000000000003" hidden="1">
      <c r="U89" s="94" t="s">
        <v>1695</v>
      </c>
      <c r="X89" s="94" t="s">
        <v>1049</v>
      </c>
      <c r="Y89" s="94" t="s">
        <v>171</v>
      </c>
      <c r="Z89" s="94" t="s">
        <v>271</v>
      </c>
      <c r="AA89" s="94" t="s">
        <v>1368</v>
      </c>
      <c r="AB89" s="94" t="s">
        <v>1508</v>
      </c>
      <c r="AC89" s="94" t="s">
        <v>622</v>
      </c>
      <c r="AF89" s="94" t="s">
        <v>1397</v>
      </c>
      <c r="AG89" s="94" t="s">
        <v>916</v>
      </c>
      <c r="AI89" s="94" t="s">
        <v>1123</v>
      </c>
      <c r="AJ89" s="94" t="s">
        <v>1720</v>
      </c>
      <c r="AK89" s="94" t="s">
        <v>1721</v>
      </c>
      <c r="AM89" s="94" t="s">
        <v>1722</v>
      </c>
      <c r="AO89" s="94" t="s">
        <v>1207</v>
      </c>
      <c r="AP89" s="94" t="s">
        <v>1388</v>
      </c>
      <c r="AQ89" s="94" t="s">
        <v>833</v>
      </c>
      <c r="AR89" s="94" t="s">
        <v>941</v>
      </c>
      <c r="AS89" s="94" t="s">
        <v>1150</v>
      </c>
      <c r="AV89" s="94" t="s">
        <v>1196</v>
      </c>
      <c r="AW89" s="94" t="s">
        <v>1253</v>
      </c>
      <c r="AX89" s="94" t="s">
        <v>237</v>
      </c>
      <c r="AY89" s="94" t="s">
        <v>1417</v>
      </c>
      <c r="AZ89" s="94" t="s">
        <v>242</v>
      </c>
      <c r="BA89" s="94" t="s">
        <v>604</v>
      </c>
      <c r="BC89" s="94" t="s">
        <v>1723</v>
      </c>
    </row>
    <row r="90" hidden="1">
      <c r="U90" s="94" t="s">
        <v>1456</v>
      </c>
      <c r="X90" s="94" t="s">
        <v>610</v>
      </c>
      <c r="Y90" s="94" t="s">
        <v>177</v>
      </c>
      <c r="Z90" s="94" t="s">
        <v>260</v>
      </c>
      <c r="AA90" s="94" t="s">
        <v>1110</v>
      </c>
      <c r="AB90" s="94" t="s">
        <v>1113</v>
      </c>
      <c r="AC90" s="94" t="s">
        <v>1012</v>
      </c>
      <c r="AF90" s="94" t="s">
        <v>1244</v>
      </c>
      <c r="AG90" s="94" t="s">
        <v>701</v>
      </c>
      <c r="AJ90" s="94" t="s">
        <v>806</v>
      </c>
      <c r="AK90" s="94" t="s">
        <v>298</v>
      </c>
      <c r="AO90" s="94" t="s">
        <v>1211</v>
      </c>
      <c r="AP90" s="94" t="s">
        <v>1385</v>
      </c>
      <c r="AQ90" s="94" t="s">
        <v>1549</v>
      </c>
      <c r="AR90" s="94" t="s">
        <v>879</v>
      </c>
      <c r="AS90" s="94" t="s">
        <v>962</v>
      </c>
      <c r="AV90" s="94" t="s">
        <v>1193</v>
      </c>
      <c r="AX90" s="94" t="s">
        <v>1343</v>
      </c>
      <c r="AY90" s="94" t="s">
        <v>924</v>
      </c>
      <c r="BA90" s="94" t="s">
        <v>1162</v>
      </c>
    </row>
    <row r="91" hidden="1">
      <c r="U91" s="94" t="s">
        <v>1008</v>
      </c>
      <c r="X91" s="94" t="s">
        <v>1392</v>
      </c>
      <c r="Y91" s="94" t="s">
        <v>163</v>
      </c>
      <c r="Z91" s="94" t="s">
        <v>257</v>
      </c>
      <c r="AA91" s="94" t="s">
        <v>582</v>
      </c>
      <c r="AB91" s="94" t="s">
        <v>1519</v>
      </c>
      <c r="AC91" s="94" t="s">
        <v>1007</v>
      </c>
      <c r="AF91" s="94" t="s">
        <v>1240</v>
      </c>
      <c r="AG91" s="94" t="s">
        <v>619</v>
      </c>
      <c r="AJ91" s="94" t="s">
        <v>812</v>
      </c>
      <c r="AK91" s="94" t="s">
        <v>309</v>
      </c>
      <c r="AO91" s="94" t="s">
        <v>1145</v>
      </c>
      <c r="AP91" s="94" t="s">
        <v>1214</v>
      </c>
      <c r="AR91" s="94" t="s">
        <v>1503</v>
      </c>
      <c r="AS91" s="94" t="s">
        <v>1724</v>
      </c>
      <c r="AV91" s="94" t="s">
        <v>242</v>
      </c>
      <c r="AX91" s="94" t="s">
        <v>1446</v>
      </c>
      <c r="BA91" s="94" t="s">
        <v>1475</v>
      </c>
    </row>
    <row r="92" ht="27.600000000000001" hidden="1">
      <c r="U92" s="94" t="s">
        <v>765</v>
      </c>
      <c r="X92" s="94" t="s">
        <v>1266</v>
      </c>
      <c r="Z92" s="94" t="s">
        <v>1725</v>
      </c>
      <c r="AA92" s="94" t="s">
        <v>242</v>
      </c>
      <c r="AB92" s="94" t="s">
        <v>1512</v>
      </c>
      <c r="AC92" s="94" t="s">
        <v>993</v>
      </c>
      <c r="AF92" s="94" t="s">
        <v>1220</v>
      </c>
      <c r="AG92" s="94" t="s">
        <v>1332</v>
      </c>
      <c r="AJ92" s="94" t="s">
        <v>1131</v>
      </c>
      <c r="AK92" s="94" t="s">
        <v>1726</v>
      </c>
      <c r="AO92" s="94" t="s">
        <v>1143</v>
      </c>
      <c r="AP92" s="94" t="s">
        <v>1376</v>
      </c>
      <c r="AR92" s="94" t="s">
        <v>1522</v>
      </c>
      <c r="AS92" s="94" t="s">
        <v>1727</v>
      </c>
      <c r="AX92" s="94" t="s">
        <v>974</v>
      </c>
      <c r="BA92" s="94" t="s">
        <v>1484</v>
      </c>
    </row>
    <row r="93" hidden="1">
      <c r="U93" s="94" t="s">
        <v>1567</v>
      </c>
      <c r="X93" s="94" t="s">
        <v>646</v>
      </c>
      <c r="Z93" s="94" t="s">
        <v>263</v>
      </c>
      <c r="AA93" s="94" t="s">
        <v>465</v>
      </c>
      <c r="AB93" s="94" t="s">
        <v>1510</v>
      </c>
      <c r="AC93" s="94" t="s">
        <v>1002</v>
      </c>
      <c r="AF93" s="94" t="s">
        <v>1233</v>
      </c>
      <c r="AG93" s="94" t="s">
        <v>430</v>
      </c>
      <c r="AJ93" s="94" t="s">
        <v>1435</v>
      </c>
      <c r="AK93" s="94" t="s">
        <v>1728</v>
      </c>
      <c r="AO93" s="94" t="s">
        <v>1135</v>
      </c>
      <c r="AR93" s="94" t="s">
        <v>1729</v>
      </c>
      <c r="AS93" s="94" t="s">
        <v>691</v>
      </c>
      <c r="AX93" s="94" t="s">
        <v>984</v>
      </c>
      <c r="BA93" s="94" t="s">
        <v>1730</v>
      </c>
    </row>
    <row r="94" hidden="1">
      <c r="U94" s="94" t="s">
        <v>1231</v>
      </c>
      <c r="X94" s="94" t="s">
        <v>1304</v>
      </c>
      <c r="Z94" s="94" t="s">
        <v>265</v>
      </c>
      <c r="AB94" s="94" t="s">
        <v>1450</v>
      </c>
      <c r="AC94" s="94" t="s">
        <v>242</v>
      </c>
      <c r="AF94" s="94" t="s">
        <v>1229</v>
      </c>
      <c r="AG94" s="94" t="s">
        <v>633</v>
      </c>
      <c r="AJ94" s="94" t="s">
        <v>615</v>
      </c>
      <c r="AK94" s="94" t="s">
        <v>1731</v>
      </c>
      <c r="AO94" s="94" t="s">
        <v>802</v>
      </c>
      <c r="AS94" s="94" t="s">
        <v>1732</v>
      </c>
      <c r="AX94" s="94" t="s">
        <v>1540</v>
      </c>
      <c r="BA94" s="94" t="s">
        <v>517</v>
      </c>
    </row>
    <row r="95" hidden="1">
      <c r="U95" s="94" t="s">
        <v>1534</v>
      </c>
      <c r="X95" s="94" t="s">
        <v>1461</v>
      </c>
      <c r="Z95" s="94" t="s">
        <v>269</v>
      </c>
      <c r="AF95" s="94" t="s">
        <v>1242</v>
      </c>
      <c r="AG95" s="94" t="s">
        <v>1532</v>
      </c>
      <c r="AJ95" s="94" t="s">
        <v>1733</v>
      </c>
      <c r="AK95" s="94" t="s">
        <v>1734</v>
      </c>
      <c r="AS95" s="94" t="s">
        <v>678</v>
      </c>
      <c r="AX95" s="94" t="s">
        <v>468</v>
      </c>
      <c r="BA95" s="94" t="s">
        <v>561</v>
      </c>
    </row>
    <row r="96" hidden="1">
      <c r="U96" s="94" t="s">
        <v>1294</v>
      </c>
      <c r="X96" s="94" t="s">
        <v>1735</v>
      </c>
      <c r="Z96" s="94" t="s">
        <v>267</v>
      </c>
      <c r="AF96" s="94" t="s">
        <v>1237</v>
      </c>
      <c r="AG96" s="94" t="s">
        <v>1537</v>
      </c>
      <c r="AJ96" s="94" t="s">
        <v>1736</v>
      </c>
      <c r="AK96" s="94" t="s">
        <v>1431</v>
      </c>
      <c r="AS96" s="94" t="s">
        <v>687</v>
      </c>
      <c r="AX96" s="94" t="s">
        <v>1443</v>
      </c>
      <c r="BA96" s="94" t="s">
        <v>556</v>
      </c>
    </row>
    <row r="97" hidden="1">
      <c r="U97" s="94" t="s">
        <v>1696</v>
      </c>
      <c r="X97" s="94" t="s">
        <v>1313</v>
      </c>
      <c r="Z97" s="94" t="s">
        <v>273</v>
      </c>
      <c r="AJ97" s="94" t="s">
        <v>1472</v>
      </c>
      <c r="AK97" s="94" t="s">
        <v>1737</v>
      </c>
      <c r="AX97" s="94" t="s">
        <v>461</v>
      </c>
      <c r="BA97" s="94" t="s">
        <v>1569</v>
      </c>
    </row>
    <row r="98" hidden="1">
      <c r="U98" s="94" t="s">
        <v>371</v>
      </c>
      <c r="X98" s="94" t="s">
        <v>154</v>
      </c>
      <c r="Z98" s="94" t="s">
        <v>276</v>
      </c>
      <c r="AJ98" s="94" t="s">
        <v>1437</v>
      </c>
      <c r="AK98" s="94" t="s">
        <v>395</v>
      </c>
      <c r="AX98" s="94" t="s">
        <v>1542</v>
      </c>
      <c r="BA98" s="94" t="s">
        <v>572</v>
      </c>
    </row>
    <row r="99" hidden="1">
      <c r="U99" s="94" t="s">
        <v>375</v>
      </c>
      <c r="X99" s="94" t="s">
        <v>1063</v>
      </c>
      <c r="Z99" s="94" t="s">
        <v>279</v>
      </c>
      <c r="AJ99" s="94" t="s">
        <v>1407</v>
      </c>
      <c r="AK99" s="94" t="s">
        <v>421</v>
      </c>
      <c r="AX99" s="94" t="s">
        <v>1347</v>
      </c>
      <c r="BA99" s="94" t="s">
        <v>946</v>
      </c>
    </row>
    <row r="100" hidden="1">
      <c r="U100" s="94" t="s">
        <v>870</v>
      </c>
      <c r="X100" s="94" t="s">
        <v>741</v>
      </c>
      <c r="Z100" s="94" t="s">
        <v>793</v>
      </c>
      <c r="AJ100" s="94" t="s">
        <v>1738</v>
      </c>
      <c r="AK100" s="94" t="s">
        <v>314</v>
      </c>
      <c r="AX100" s="94" t="s">
        <v>441</v>
      </c>
      <c r="BA100" s="94" t="s">
        <v>1739</v>
      </c>
    </row>
    <row r="101" hidden="1">
      <c r="U101" s="94" t="s">
        <v>1301</v>
      </c>
      <c r="X101" s="94" t="s">
        <v>909</v>
      </c>
      <c r="Z101" s="94" t="s">
        <v>242</v>
      </c>
      <c r="AJ101" s="94" t="s">
        <v>658</v>
      </c>
      <c r="AK101" s="94" t="s">
        <v>1426</v>
      </c>
      <c r="AX101" s="94" t="s">
        <v>457</v>
      </c>
      <c r="BA101" s="94" t="s">
        <v>1141</v>
      </c>
    </row>
    <row r="102" hidden="1">
      <c r="U102" s="94" t="s">
        <v>1363</v>
      </c>
      <c r="X102" s="94" t="s">
        <v>848</v>
      </c>
      <c r="Z102" s="94" t="s">
        <v>247</v>
      </c>
      <c r="AJ102" s="94" t="s">
        <v>1723</v>
      </c>
      <c r="AK102" s="94" t="s">
        <v>351</v>
      </c>
      <c r="AX102" s="94" t="s">
        <v>641</v>
      </c>
      <c r="BA102" s="94" t="s">
        <v>1740</v>
      </c>
    </row>
    <row r="103" hidden="1">
      <c r="U103" s="94" t="s">
        <v>1140</v>
      </c>
      <c r="X103" s="94" t="s">
        <v>1741</v>
      </c>
      <c r="Z103" s="94" t="s">
        <v>902</v>
      </c>
      <c r="AJ103" s="94" t="s">
        <v>921</v>
      </c>
      <c r="AK103" s="94" t="s">
        <v>413</v>
      </c>
      <c r="AX103" s="94" t="s">
        <v>473</v>
      </c>
      <c r="BA103" s="94" t="s">
        <v>1742</v>
      </c>
    </row>
    <row r="104" hidden="1">
      <c r="U104" s="94" t="s">
        <v>1385</v>
      </c>
      <c r="X104" s="94" t="s">
        <v>1071</v>
      </c>
      <c r="Z104" s="94" t="s">
        <v>222</v>
      </c>
      <c r="AJ104" s="94" t="s">
        <v>1743</v>
      </c>
      <c r="AK104" s="94" t="s">
        <v>333</v>
      </c>
      <c r="AX104" s="94" t="s">
        <v>395</v>
      </c>
      <c r="BA104" s="94" t="s">
        <v>1744</v>
      </c>
    </row>
    <row r="105" hidden="1">
      <c r="U105" s="94" t="s">
        <v>1551</v>
      </c>
      <c r="X105" s="94" t="s">
        <v>1310</v>
      </c>
      <c r="Z105" s="94" t="s">
        <v>253</v>
      </c>
      <c r="AJ105" s="94" t="s">
        <v>1745</v>
      </c>
      <c r="AK105" s="94" t="s">
        <v>324</v>
      </c>
      <c r="AX105" s="94" t="s">
        <v>465</v>
      </c>
      <c r="BA105" s="94" t="s">
        <v>1746</v>
      </c>
    </row>
    <row r="106" hidden="1">
      <c r="U106" s="94" t="s">
        <v>1184</v>
      </c>
      <c r="X106" s="94" t="s">
        <v>850</v>
      </c>
      <c r="Z106" s="94" t="s">
        <v>965</v>
      </c>
      <c r="AJ106" s="94" t="s">
        <v>1578</v>
      </c>
      <c r="AK106" s="94" t="s">
        <v>340</v>
      </c>
      <c r="AX106" s="94" t="s">
        <v>435</v>
      </c>
      <c r="BA106" s="94" t="s">
        <v>465</v>
      </c>
    </row>
    <row r="107" hidden="1">
      <c r="U107" s="94" t="s">
        <v>679</v>
      </c>
      <c r="X107" s="94" t="s">
        <v>1747</v>
      </c>
      <c r="Z107" s="94" t="s">
        <v>1458</v>
      </c>
      <c r="AJ107" s="94" t="s">
        <v>1469</v>
      </c>
      <c r="AK107" s="94" t="s">
        <v>329</v>
      </c>
      <c r="AX107" s="94" t="s">
        <v>465</v>
      </c>
      <c r="BA107" s="94" t="s">
        <v>1723</v>
      </c>
    </row>
    <row r="108" hidden="1">
      <c r="U108" s="94" t="s">
        <v>1264</v>
      </c>
      <c r="X108" s="94" t="s">
        <v>651</v>
      </c>
      <c r="Z108" s="94" t="s">
        <v>1328</v>
      </c>
      <c r="AJ108" s="94" t="s">
        <v>1525</v>
      </c>
      <c r="AK108" s="94" t="s">
        <v>1748</v>
      </c>
      <c r="AX108" s="94" t="s">
        <v>477</v>
      </c>
      <c r="BA108" s="94" t="s">
        <v>1743</v>
      </c>
    </row>
    <row r="109" hidden="1">
      <c r="U109" s="94" t="s">
        <v>211</v>
      </c>
      <c r="X109" s="94" t="s">
        <v>1749</v>
      </c>
      <c r="AJ109" s="94" t="s">
        <v>1750</v>
      </c>
      <c r="AK109" s="94" t="s">
        <v>1751</v>
      </c>
      <c r="AX109" s="94" t="s">
        <v>232</v>
      </c>
      <c r="BA109" s="94" t="s">
        <v>1752</v>
      </c>
    </row>
    <row r="110" hidden="1">
      <c r="U110" s="94" t="s">
        <v>1198</v>
      </c>
      <c r="X110" s="94" t="s">
        <v>1025</v>
      </c>
      <c r="AJ110" s="94" t="s">
        <v>1753</v>
      </c>
      <c r="AK110" s="94" t="s">
        <v>1754</v>
      </c>
      <c r="AX110" s="94" t="s">
        <v>1723</v>
      </c>
      <c r="BA110" s="94" t="s">
        <v>481</v>
      </c>
    </row>
    <row r="111" hidden="1">
      <c r="U111" s="94" t="s">
        <v>1697</v>
      </c>
      <c r="X111" s="94" t="s">
        <v>1058</v>
      </c>
      <c r="AK111" s="94" t="s">
        <v>1755</v>
      </c>
      <c r="AX111" s="94" t="s">
        <v>978</v>
      </c>
    </row>
    <row r="112" hidden="1">
      <c r="U112" s="94" t="s">
        <v>452</v>
      </c>
      <c r="X112" s="94" t="s">
        <v>1756</v>
      </c>
      <c r="AX112" s="94" t="s">
        <v>446</v>
      </c>
    </row>
    <row r="113" hidden="1">
      <c r="U113" s="94" t="s">
        <v>1419</v>
      </c>
      <c r="X113" s="94" t="s">
        <v>1032</v>
      </c>
    </row>
    <row r="114" hidden="1">
      <c r="U114" s="94" t="s">
        <v>862</v>
      </c>
      <c r="X114" s="94" t="s">
        <v>1037</v>
      </c>
    </row>
    <row r="115" hidden="1">
      <c r="U115" s="94" t="s">
        <v>553</v>
      </c>
      <c r="X115" s="94" t="s">
        <v>1040</v>
      </c>
    </row>
    <row r="116" hidden="1">
      <c r="U116" s="94" t="s">
        <v>1095</v>
      </c>
      <c r="X116" s="94" t="s">
        <v>1757</v>
      </c>
    </row>
    <row r="117" hidden="1">
      <c r="U117" s="94" t="s">
        <v>1275</v>
      </c>
      <c r="X117" s="94" t="s">
        <v>1758</v>
      </c>
    </row>
    <row r="118" ht="27.600000000000001" hidden="1">
      <c r="U118" s="94" t="s">
        <v>397</v>
      </c>
      <c r="X118" s="94" t="s">
        <v>1759</v>
      </c>
    </row>
    <row r="119" hidden="1">
      <c r="X119" s="94" t="s">
        <v>1056</v>
      </c>
    </row>
    <row r="120" hidden="1">
      <c r="X120" s="94" t="s">
        <v>827</v>
      </c>
    </row>
  </sheetData>
  <mergeCells count="29">
    <mergeCell ref="A1:R2"/>
    <mergeCell ref="A3:S3"/>
    <mergeCell ref="A4:S4"/>
    <mergeCell ref="A5:S5"/>
    <mergeCell ref="D54:E54"/>
    <mergeCell ref="L6:M6"/>
    <mergeCell ref="L7:M7"/>
    <mergeCell ref="P6:S6"/>
    <mergeCell ref="A6:D6"/>
    <mergeCell ref="E6:H6"/>
    <mergeCell ref="E7:H7"/>
    <mergeCell ref="I6:K6"/>
    <mergeCell ref="I7:K7"/>
    <mergeCell ref="A57:S57"/>
    <mergeCell ref="D52:E52"/>
    <mergeCell ref="A7:D7"/>
    <mergeCell ref="D51:E51"/>
    <mergeCell ref="F51:I51"/>
    <mergeCell ref="J50:S50"/>
    <mergeCell ref="J51:S56"/>
    <mergeCell ref="D56:E56"/>
    <mergeCell ref="F56:I56"/>
    <mergeCell ref="F52:I52"/>
    <mergeCell ref="D55:E55"/>
    <mergeCell ref="F55:I55"/>
    <mergeCell ref="A50:I50"/>
    <mergeCell ref="A8:S8"/>
    <mergeCell ref="P7:S7"/>
    <mergeCell ref="D53:E53"/>
  </mergeCells>
  <dataValidations count="3" disablePrompts="0" xWindow="197" yWindow="511">
    <dataValidation sqref="F13:F49" type="none" allowBlank="1" error="DIGITE CEDULAS SIN PUNTO NI COMAS&#10;" errorStyle="stop" errorTitle="ERROR EN DOCUMENTO IDENTIDAD" imeMode="noControl" operator="between" prompt="DIGITE CEDULAS SIN PUNTO NI COMAS" promptTitle="CAMPO OBLIGATORIO" showDropDown="0" showErrorMessage="1" showInputMessage="1"/>
    <dataValidation sqref="T10:T49" type="none" allowBlank="1" errorStyle="stop" imeMode="noControl" operator="between" prompt="Diligencie las observaciones que tenga con respecto a la cuenta.&#10;&#10;En caso de ser una cuenta genérica, indicar el objetivo de la cuenta o una breve descripción de esta. " showDropDown="0" showErrorMessage="1" showInputMessage="1"/>
    <dataValidation sqref="R10:R49" type="list" allowBlank="1" errorStyle="stop" imeMode="noControl" operator="between" showDropDown="0" showErrorMessage="1" showInputMessage="1">
      <formula1>Listas!$G$2:$G$3</formula1>
    </dataValidation>
  </dataValidations>
  <printOptions headings="0" gridLines="0" horizontalCentered="1"/>
  <pageMargins left="0.23622047244094491" right="0.23622047244094491" top="0.74803149606299213" bottom="0.74803149606299213" header="0.31496062992125984" footer="0.31496062992125984"/>
  <pageSetup paperSize="9" scale="34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  <tableParts count="3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49" id="{007E0017-00AC-4390-8CE9-00AD0006009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A5</xm:sqref>
        </x14:conditionalFormatting>
        <x14:conditionalFormatting xmlns:xm="http://schemas.microsoft.com/office/excel/2006/main">
          <x14:cfRule type="duplicateValues" priority="48" id="{006500CA-0025-42A7-AC62-008B0038002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A6</xm:sqref>
        </x14:conditionalFormatting>
        <x14:conditionalFormatting xmlns:xm="http://schemas.microsoft.com/office/excel/2006/main">
          <x14:cfRule type="duplicateValues" priority="46" id="{00A50068-005F-4816-8F4D-00AE0091008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duplicateValues" priority="160" id="{008300FA-00AB-49E8-9665-00770039002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D14:F14 N9:R9 C10:F13 C15:F49 A9:L9 T9 A10:A49 G10:G49 Q10:R49</xm:sqref>
        </x14:conditionalFormatting>
        <x14:conditionalFormatting xmlns:xm="http://schemas.microsoft.com/office/excel/2006/main">
          <x14:cfRule type="containsText" priority="4" operator="containsText" text="Seleccione un Rol/Cargo" id="{007A00BF-00D8-4954-89D4-00C100A700B1}">
            <xm:f>NOT(ISERROR(SEARCH("Seleccione un Rol/Cargo",K10)))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K10:K49</xm:sqref>
        </x14:conditionalFormatting>
        <x14:conditionalFormatting xmlns:xm="http://schemas.microsoft.com/office/excel/2006/main">
          <x14:cfRule type="duplicateValues" priority="47" id="{00F7001E-0021-4170-8C2A-0056004A001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P6:R6 E6</xm:sqref>
        </x14:conditionalFormatting>
        <x14:conditionalFormatting xmlns:xm="http://schemas.microsoft.com/office/excel/2006/main">
          <x14:cfRule type="duplicateValues" priority="3" id="{005B006E-00EC-4B2C-9E80-008400CC00B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S9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5" disablePrompts="0" xWindow="197" yWindow="511">
        <x14:dataValidation xr:uid="{00420091-00F8-4A90-B1C2-00FE00E50026}" type="list" allowBlank="1" errorStyle="stop" imeMode="noControl" operator="between" showDropDown="0" showErrorMessage="1" showInputMessage="1">
          <x14:formula1>
            <xm:f>Tipo_De_Solicitud</xm:f>
          </x14:formula1>
          <xm:sqref>B52:B56</xm:sqref>
        </x14:dataValidation>
        <x14:dataValidation xr:uid="{003C006D-0043-472B-A983-00830053009F}" type="list" allowBlank="1" errorStyle="stop" imeMode="noControl" operator="between" showDropDown="0" showErrorMessage="1" showInputMessage="1">
          <x14:formula1>
            <xm:f>Contrato_de_Aprendizaje⠀</xm:f>
          </x14:formula1>
          <xm:sqref>L7:O7</xm:sqref>
        </x14:dataValidation>
        <x14:dataValidation xr:uid="{009700F5-0013-4BE5-878C-00F500C4008D}" type="custom" allowBlank="1" error="INGRESE APELLIDOS COMPLETOS" errorStyle="stop" errorTitle="ERROR EN APELLIDO" imeMode="noControl" operator="between" showDropDown="0" showErrorMessage="1" showInputMessage="1">
          <x14:formula1>
            <xm:f>ISTEXT(E15:F63)</xm:f>
          </x14:formula1>
          <xm:sqref>E15:E49</xm:sqref>
        </x14:dataValidation>
        <x14:dataValidation xr:uid="{008B0066-00CE-4A65-82DF-0060007900DF}" type="custom" allowBlank="1" error="DIGITE NOMBRE COMPLETO" errorStyle="stop" errorTitle="ERROR EN EL NOMBRE" imeMode="noControl" operator="between" showDropDown="0" showErrorMessage="1" showInputMessage="1">
          <x14:formula1>
            <xm:f>ISTEXT(D15:E63)</xm:f>
          </x14:formula1>
          <xm:sqref>D15:D49</xm:sqref>
        </x14:dataValidation>
        <x14:dataValidation xr:uid="{00FC0086-002B-465C-820D-0099006400B4}" type="custom" allowBlank="1" error="No diligence el campo cuando se trata de la creación de una cuenta de usuario. " errorStyle="stop" imeMode="noControl" operator="between" prompt="Diligencie el correo electrónico institucional del usuario." showDropDown="0" showErrorMessage="1" showInputMessage="1">
          <x14:formula1>
            <xm:f>(OR(B11="Modificar",B11="Activar",B11="Inactivar"))</xm:f>
          </x14:formula1>
          <xm:sqref>C16:C49 C11:C13</xm:sqref>
        </x14:dataValidation>
        <x14:dataValidation xr:uid="{00DA00E6-005D-4C4D-B317-00EF000A007E}" type="custom" allowBlank="1" error="No diligence el campo cuando se trata de la creación de una cuenta de usuario. " errorStyle="stop" imeMode="noControl" operator="between" prompt="Diligencie el correo electrónico institucional del usuario." showDropDown="0" showErrorMessage="1" showInputMessage="1">
          <x14:formula1>
            <xm:f>(OR(B14="Modificar",B14="Activar",B14="Inactivar"))</xm:f>
          </x14:formula1>
          <xm:sqref>C15</xm:sqref>
        </x14:dataValidation>
        <x14:dataValidation xr:uid="{00CD009D-00CD-4FEE-A68B-00D800DB0021}" type="list" allowBlank="1" errorStyle="stop" imeMode="noControl" operator="between" prompt="- Crear: El funcionario es nuevo&#10;- Modificar: La cuenta existe y se va a modificar algún parámetro&#10;- Activar: La cuenta existe pero se encuentra caducada&#10;- Inactivar: Se requiere inactivar alguna cuenta existente&#10;&#10;&#10;                *Campo Obligatorio*" promptTitle="Seleccione el tipo de solicitud" showDropDown="0" showErrorMessage="1" showInputMessage="1">
          <x14:formula1>
            <xm:f>Tipo_De_Solicitud</xm:f>
          </x14:formula1>
          <xm:sqref>B10:B49</xm:sqref>
        </x14:dataValidation>
        <x14:dataValidation xr:uid="{00800037-003F-43CC-A8F1-00D900FE0046}" type="textLength" allowBlank="1" error="INGRESE UN CORREO VALIDO" errorStyle="stop" errorTitle="CORREO ERRONEO" imeMode="noControl" operator="between" prompt="Cuando seleccione la opción de Crear o Activar cuentas de usuario es necesario diligenciar este campo, esto con el fin de que llegue a esta cuenta sus credenciales de inicio de sesión." promptTitle="CORREO PERSONAL" showDropDown="0" showErrorMessage="1" showInputMessage="1">
          <x14:formula1>
            <xm:f>0</xm:f>
          </x14:formula1>
          <x14:formula2>
            <xm:f>100</xm:f>
          </x14:formula2>
          <xm:sqref>H13:H49</xm:sqref>
        </x14:dataValidation>
        <x14:dataValidation xr:uid="{007900FC-004B-4FFB-9D05-00C500D000A4}" type="whole" allowBlank="1" error="DIGITE SU NUMERO DE CELULAR SIN PUNTOS, COMAS NI ESPACIOS" errorStyle="stop" errorTitle="NUMERO INCORRECTO" imeMode="noControl" operator="between" prompt="DIGITE SU NUMERO DE CELULAR SIN PUNTOS, COMAS NI ESPACIOS." promptTitle="NUMERO CELULAR" showDropDown="0" showErrorMessage="1" showInputMessage="1">
          <x14:formula1>
            <xm:f>1000000000</xm:f>
          </x14:formula1>
          <x14:formula2>
            <xm:f>9999999999</xm:f>
          </x14:formula2>
          <xm:sqref>G13:G49</xm:sqref>
        </x14:dataValidation>
        <x14:dataValidation xr:uid="{006A007D-0009-4D49-8723-002300EC0055}" type="whole" allowBlank="1" error="LA EXTENSION DEBE TENER 5 DIGITOS " errorStyle="stop" errorTitle="ERROR EN EXTENSION" imeMode="noControl" operator="between" prompt="SI TIENE EXTENSION INGRESELA" promptTitle="NUMERO DE EXTENSION" showDropDown="0" showErrorMessage="1" showInputMessage="1">
          <x14:formula1>
            <xm:f>10000</xm:f>
          </x14:formula1>
          <x14:formula2>
            <xm:f>99999</xm:f>
          </x14:formula2>
          <xm:sqref>P10:P49</xm:sqref>
        </x14:dataValidation>
        <x14:dataValidation xr:uid="{0068009F-000D-4922-9DDD-0070005500E4}" type="list" allowBlank="1" errorStyle="stop" imeMode="noControl" operator="between" showDropDown="0" showErrorMessage="1" showInputMessage="1">
          <x14:formula1>
            <xm:f>INDIRECT(SUBSTITUTE(I10," "," _"))</xm:f>
          </x14:formula1>
          <xm:sqref>J10:J49</xm:sqref>
        </x14:dataValidation>
        <x14:dataValidation xr:uid="{005C0058-004A-46B8-9A6F-00130078000B}" type="date" allowBlank="1" errorStyle="stop" imeMode="noControl" operator="between" showDropDown="0" showErrorMessage="1" showInputMessage="1">
          <x14:formula1>
            <xm:f>44915</xm:f>
          </x14:formula1>
          <x14:formula2>
            <xm:f>47848</xm:f>
          </x14:formula2>
          <xm:sqref>Q10:Q49</xm:sqref>
        </x14:dataValidation>
        <x14:dataValidation xr:uid="{00BE0090-0059-4D69-BC61-005C001D001B}" type="list" allowBlank="1" errorStyle="stop" imeMode="noControl" operator="between" showDropDown="0" showErrorMessage="1" showInputMessage="1">
          <x14:formula1>
            <xm:f>Sedes</xm:f>
          </x14:formula1>
          <xm:sqref>L10:L49</xm:sqref>
        </x14:dataValidation>
        <x14:dataValidation xr:uid="{00A000F8-00DE-48BC-9C3B-006100B30045}" type="list" allowBlank="1" errorStyle="stop" imeMode="noControl" operator="between" showDropDown="0" showErrorMessage="1" showInputMessage="1">
          <x14:formula1>
            <xm:f>Tipo_De_Contrato</xm:f>
          </x14:formula1>
          <xm:sqref>I10:I49</xm:sqref>
        </x14:dataValidation>
        <x14:dataValidation xr:uid="{008100BD-0011-4575-AAC5-007200680033}" type="list" allowBlank="1" errorStyle="stop" imeMode="noControl" operator="between" showDropDown="0" showErrorMessage="1" showInputMessage="1">
          <x14:formula1>
            <xm:f>Rol</xm:f>
          </x14:formula1>
          <xm:sqref>K10:K49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31" zoomScale="115" workbookViewId="0">
      <selection activeCell="A1" activeCellId="0" sqref="A1:H2"/>
    </sheetView>
  </sheetViews>
  <sheetFormatPr defaultColWidth="0" defaultRowHeight="15" customHeight="1" zeroHeight="1"/>
  <cols>
    <col customWidth="1" min="1" max="1" style="15" width="27.42578125"/>
    <col customWidth="1" min="2" max="2" style="16" width="16.42578125"/>
    <col customWidth="1" min="3" max="3" style="16" width="19.28515625"/>
    <col customWidth="1" min="4" max="5" style="16" width="11.42578125"/>
    <col customWidth="1" min="6" max="7" style="15" width="9.42578125"/>
    <col customWidth="1" min="8" max="8" style="15" width="27.85546875"/>
    <col bestFit="1" customWidth="1" min="9" max="9" style="15" width="11.28515625"/>
    <col hidden="1" min="10" max="16384" style="15" width="11.42578125"/>
  </cols>
  <sheetData>
    <row r="1" ht="35.25" customHeight="1">
      <c r="A1" s="17"/>
      <c r="B1" s="17"/>
      <c r="C1" s="17"/>
      <c r="D1" s="17"/>
      <c r="E1" s="17"/>
      <c r="F1" s="17"/>
      <c r="G1" s="17"/>
      <c r="H1" s="17"/>
      <c r="I1" s="18" t="s">
        <v>1580</v>
      </c>
    </row>
    <row r="2" ht="40.5" customHeight="1">
      <c r="A2" s="17"/>
      <c r="B2" s="17"/>
      <c r="C2" s="17"/>
      <c r="D2" s="17"/>
      <c r="E2" s="17"/>
      <c r="F2" s="17"/>
      <c r="G2" s="17"/>
      <c r="H2" s="17"/>
      <c r="I2" s="19" t="s">
        <v>1581</v>
      </c>
    </row>
    <row r="3" ht="30" customHeight="1">
      <c r="A3" s="20" t="s">
        <v>1582</v>
      </c>
      <c r="B3" s="21"/>
      <c r="C3" s="21"/>
      <c r="D3" s="21"/>
      <c r="E3" s="21"/>
      <c r="F3" s="21"/>
      <c r="G3" s="21"/>
      <c r="H3" s="21"/>
      <c r="I3" s="22"/>
      <c r="J3" s="23" t="s">
        <v>1583</v>
      </c>
    </row>
    <row r="4" s="24" customFormat="1" ht="30.75" customHeight="1">
      <c r="A4" s="25" t="s">
        <v>1584</v>
      </c>
      <c r="B4" s="26"/>
      <c r="C4" s="26"/>
      <c r="D4" s="26"/>
      <c r="E4" s="26"/>
      <c r="F4" s="26"/>
      <c r="G4" s="26"/>
      <c r="H4" s="26"/>
      <c r="I4" s="27"/>
    </row>
    <row r="5" ht="23.25" customHeight="1">
      <c r="A5" s="20" t="s">
        <v>1585</v>
      </c>
      <c r="B5" s="21"/>
      <c r="C5" s="21"/>
      <c r="D5" s="21"/>
      <c r="E5" s="21"/>
      <c r="F5" s="21"/>
      <c r="G5" s="21"/>
      <c r="H5" s="21"/>
      <c r="I5" s="22"/>
    </row>
    <row r="6" ht="36" customHeight="1">
      <c r="A6" s="25" t="s">
        <v>1586</v>
      </c>
      <c r="B6" s="26"/>
      <c r="C6" s="26"/>
      <c r="D6" s="26"/>
      <c r="E6" s="26"/>
      <c r="F6" s="26"/>
      <c r="G6" s="26"/>
      <c r="H6" s="26"/>
      <c r="I6" s="27"/>
    </row>
    <row r="7" ht="23.25" customHeight="1">
      <c r="A7" s="20" t="s">
        <v>1587</v>
      </c>
      <c r="B7" s="21"/>
      <c r="C7" s="21"/>
      <c r="D7" s="21"/>
      <c r="E7" s="21"/>
      <c r="F7" s="21"/>
      <c r="G7" s="21"/>
      <c r="H7" s="21"/>
      <c r="I7" s="22"/>
    </row>
    <row r="8" ht="23.25" customHeight="1">
      <c r="A8" s="28" t="s">
        <v>1588</v>
      </c>
      <c r="B8" s="29"/>
      <c r="C8" s="28" t="s">
        <v>1589</v>
      </c>
      <c r="D8" s="30"/>
      <c r="E8" s="29"/>
      <c r="F8" s="28" t="s">
        <v>1590</v>
      </c>
      <c r="G8" s="30"/>
      <c r="H8" s="30"/>
      <c r="I8" s="29"/>
    </row>
    <row r="9" ht="23.25" customHeight="1">
      <c r="A9" s="31" t="s">
        <v>1591</v>
      </c>
      <c r="B9" s="32"/>
      <c r="C9" s="32"/>
      <c r="D9" s="32"/>
      <c r="E9" s="32"/>
      <c r="F9" s="32"/>
      <c r="G9" s="32"/>
      <c r="H9" s="32"/>
      <c r="I9" s="33"/>
    </row>
    <row r="10" ht="18">
      <c r="A10" s="31" t="s">
        <v>1592</v>
      </c>
      <c r="B10" s="32"/>
      <c r="C10" s="32"/>
      <c r="D10" s="32"/>
      <c r="E10" s="32"/>
      <c r="F10" s="32"/>
      <c r="G10" s="32"/>
      <c r="H10" s="32"/>
      <c r="I10" s="33"/>
    </row>
    <row r="11" ht="18">
      <c r="A11" s="34" t="s">
        <v>1593</v>
      </c>
      <c r="B11" s="35"/>
      <c r="C11" s="35"/>
      <c r="D11" s="35"/>
      <c r="E11" s="35"/>
      <c r="F11" s="35"/>
      <c r="G11" s="35"/>
      <c r="H11" s="35"/>
      <c r="I11" s="36"/>
    </row>
    <row r="12" ht="14.449999999999999">
      <c r="A12" s="37" t="s">
        <v>1594</v>
      </c>
      <c r="B12" s="38"/>
      <c r="C12" s="38"/>
      <c r="D12" s="38"/>
      <c r="E12" s="38"/>
      <c r="F12" s="38"/>
      <c r="G12" s="38"/>
      <c r="H12" s="38"/>
      <c r="I12" s="39"/>
    </row>
    <row r="13" ht="14.449999999999999">
      <c r="A13" s="37" t="s">
        <v>1595</v>
      </c>
      <c r="B13" s="38"/>
      <c r="C13" s="38"/>
      <c r="D13" s="38"/>
      <c r="E13" s="38"/>
      <c r="F13" s="38"/>
      <c r="G13" s="38"/>
      <c r="H13" s="38"/>
      <c r="I13" s="39"/>
    </row>
    <row r="14" ht="14.449999999999999">
      <c r="A14" s="37" t="s">
        <v>1596</v>
      </c>
      <c r="B14" s="38"/>
      <c r="C14" s="38"/>
      <c r="D14" s="38"/>
      <c r="E14" s="38"/>
      <c r="F14" s="38"/>
      <c r="G14" s="38"/>
      <c r="H14" s="38"/>
      <c r="I14" s="39"/>
    </row>
    <row r="15" ht="14.449999999999999">
      <c r="A15" s="37" t="s">
        <v>1597</v>
      </c>
      <c r="B15" s="38"/>
      <c r="C15" s="38"/>
      <c r="D15" s="38"/>
      <c r="E15" s="38"/>
      <c r="F15" s="38"/>
      <c r="G15" s="38"/>
      <c r="H15" s="38"/>
      <c r="I15" s="39"/>
    </row>
    <row r="16" ht="14.449999999999999">
      <c r="A16" s="37" t="s">
        <v>1598</v>
      </c>
      <c r="B16" s="38"/>
      <c r="C16" s="38"/>
      <c r="D16" s="38"/>
      <c r="E16" s="38"/>
      <c r="F16" s="38"/>
      <c r="G16" s="38"/>
      <c r="H16" s="38"/>
      <c r="I16" s="39"/>
    </row>
    <row r="17" ht="14.449999999999999">
      <c r="A17" s="37" t="s">
        <v>1599</v>
      </c>
      <c r="B17" s="38"/>
      <c r="C17" s="38"/>
      <c r="D17" s="38"/>
      <c r="E17" s="38"/>
      <c r="F17" s="38"/>
      <c r="G17" s="38"/>
      <c r="H17" s="38"/>
      <c r="I17" s="39"/>
    </row>
    <row r="18" ht="14.449999999999999">
      <c r="A18" s="37" t="s">
        <v>1600</v>
      </c>
      <c r="B18" s="38"/>
      <c r="C18" s="38"/>
      <c r="D18" s="38"/>
      <c r="E18" s="38"/>
      <c r="F18" s="38"/>
      <c r="G18" s="38"/>
      <c r="H18" s="38"/>
      <c r="I18" s="39"/>
    </row>
    <row r="19" ht="18">
      <c r="A19" s="40" t="s">
        <v>1601</v>
      </c>
      <c r="B19" s="41"/>
      <c r="C19" s="41"/>
      <c r="D19" s="41"/>
      <c r="E19" s="41"/>
      <c r="F19" s="41"/>
      <c r="G19" s="41"/>
      <c r="H19" s="41"/>
      <c r="I19" s="42"/>
    </row>
    <row r="20" ht="3" customHeight="1">
      <c r="A20" s="43"/>
      <c r="B20" s="43"/>
      <c r="C20" s="43"/>
      <c r="D20" s="43"/>
      <c r="E20" s="43"/>
      <c r="F20" s="43"/>
      <c r="G20" s="43"/>
      <c r="H20" s="43"/>
      <c r="I20" s="43"/>
    </row>
    <row r="21" ht="15.6">
      <c r="A21" s="44" t="s">
        <v>1602</v>
      </c>
      <c r="B21" s="44" t="s">
        <v>1603</v>
      </c>
      <c r="C21" s="44"/>
      <c r="D21" s="44"/>
      <c r="E21" s="44"/>
      <c r="F21" s="45" t="s">
        <v>1604</v>
      </c>
      <c r="G21" s="46"/>
      <c r="H21" s="46"/>
      <c r="I21" s="47"/>
    </row>
    <row r="22" ht="15.6">
      <c r="A22" s="48" t="s">
        <v>1605</v>
      </c>
      <c r="B22" s="49"/>
      <c r="C22" s="49"/>
      <c r="D22" s="49"/>
      <c r="E22" s="49"/>
      <c r="F22" s="49"/>
      <c r="G22" s="49"/>
      <c r="H22" s="49"/>
      <c r="I22" s="50"/>
    </row>
    <row r="23" ht="15" customHeight="1">
      <c r="A23" s="51" t="s">
        <v>1606</v>
      </c>
      <c r="B23" s="52" t="s">
        <v>1607</v>
      </c>
      <c r="C23" s="52"/>
      <c r="D23" s="52"/>
      <c r="E23" s="52"/>
      <c r="F23" s="53"/>
      <c r="G23" s="54"/>
      <c r="H23" s="54"/>
      <c r="I23" s="55"/>
    </row>
    <row r="24" ht="15" customHeight="1">
      <c r="A24" s="51" t="s">
        <v>1608</v>
      </c>
      <c r="B24" s="52" t="s">
        <v>1609</v>
      </c>
      <c r="C24" s="52"/>
      <c r="D24" s="52"/>
      <c r="E24" s="52"/>
      <c r="F24" s="53"/>
      <c r="G24" s="54"/>
      <c r="H24" s="54"/>
      <c r="I24" s="55"/>
    </row>
    <row r="25" ht="15" customHeight="1">
      <c r="A25" s="51" t="s">
        <v>1610</v>
      </c>
      <c r="B25" s="53" t="s">
        <v>1611</v>
      </c>
      <c r="C25" s="54"/>
      <c r="D25" s="54"/>
      <c r="E25" s="55"/>
      <c r="F25" s="56"/>
      <c r="G25" s="57"/>
      <c r="H25" s="57"/>
      <c r="I25" s="58"/>
    </row>
    <row r="26" ht="15" customHeight="1">
      <c r="A26" s="51" t="s">
        <v>122</v>
      </c>
      <c r="B26" s="52" t="s">
        <v>1612</v>
      </c>
      <c r="C26" s="52"/>
      <c r="D26" s="52"/>
      <c r="E26" s="52"/>
      <c r="F26" s="53"/>
      <c r="G26" s="54"/>
      <c r="H26" s="54"/>
      <c r="I26" s="55"/>
    </row>
    <row r="27" ht="15" customHeight="1">
      <c r="A27" s="51" t="s">
        <v>1613</v>
      </c>
      <c r="B27" s="52" t="s">
        <v>1614</v>
      </c>
      <c r="C27" s="52"/>
      <c r="D27" s="52"/>
      <c r="E27" s="52"/>
      <c r="F27" s="53"/>
      <c r="G27" s="54"/>
      <c r="H27" s="54"/>
      <c r="I27" s="55"/>
    </row>
    <row r="28" ht="15.75" customHeight="1">
      <c r="A28" s="48" t="s">
        <v>1615</v>
      </c>
      <c r="B28" s="49"/>
      <c r="C28" s="49"/>
      <c r="D28" s="49"/>
      <c r="E28" s="49"/>
      <c r="F28" s="49"/>
      <c r="G28" s="49"/>
      <c r="H28" s="49"/>
      <c r="I28" s="50"/>
    </row>
    <row r="29" ht="15.6">
      <c r="A29" s="59" t="s">
        <v>1616</v>
      </c>
      <c r="B29" s="60" t="s">
        <v>1617</v>
      </c>
      <c r="C29" s="61"/>
      <c r="D29" s="61"/>
      <c r="E29" s="62"/>
      <c r="F29" s="63"/>
      <c r="G29" s="64"/>
      <c r="H29" s="64"/>
      <c r="I29" s="65"/>
    </row>
    <row r="30" ht="85.5" customHeight="1">
      <c r="A30" s="51" t="s">
        <v>0</v>
      </c>
      <c r="B30" s="52" t="s">
        <v>1618</v>
      </c>
      <c r="C30" s="52"/>
      <c r="D30" s="52"/>
      <c r="E30" s="52"/>
      <c r="F30" s="66" t="s">
        <v>1619</v>
      </c>
      <c r="G30" s="67"/>
      <c r="H30" s="67"/>
      <c r="I30" s="68"/>
    </row>
    <row r="31" ht="104.25" customHeight="1">
      <c r="A31" s="51" t="s">
        <v>1620</v>
      </c>
      <c r="B31" s="52" t="s">
        <v>1621</v>
      </c>
      <c r="C31" s="52"/>
      <c r="D31" s="52"/>
      <c r="E31" s="52"/>
      <c r="F31" s="66" t="s">
        <v>1622</v>
      </c>
      <c r="G31" s="67"/>
      <c r="H31" s="67"/>
      <c r="I31" s="68"/>
    </row>
    <row r="32" ht="46.5" customHeight="1">
      <c r="A32" s="51" t="s">
        <v>1606</v>
      </c>
      <c r="B32" s="52" t="s">
        <v>1623</v>
      </c>
      <c r="C32" s="52"/>
      <c r="D32" s="52"/>
      <c r="E32" s="52"/>
      <c r="F32" s="66" t="s">
        <v>1624</v>
      </c>
      <c r="G32" s="67"/>
      <c r="H32" s="67"/>
      <c r="I32" s="68"/>
    </row>
    <row r="33" ht="45" customHeight="1">
      <c r="A33" s="51" t="s">
        <v>1608</v>
      </c>
      <c r="B33" s="52" t="s">
        <v>1625</v>
      </c>
      <c r="C33" s="52"/>
      <c r="D33" s="52"/>
      <c r="E33" s="52"/>
      <c r="F33" s="66" t="s">
        <v>1626</v>
      </c>
      <c r="G33" s="67"/>
      <c r="H33" s="67"/>
      <c r="I33" s="68"/>
    </row>
    <row r="34" ht="15" customHeight="1">
      <c r="A34" s="51" t="s">
        <v>1627</v>
      </c>
      <c r="B34" s="52" t="s">
        <v>1628</v>
      </c>
      <c r="C34" s="52"/>
      <c r="D34" s="52"/>
      <c r="E34" s="52"/>
      <c r="F34" s="66" t="s">
        <v>1619</v>
      </c>
      <c r="G34" s="67"/>
      <c r="H34" s="67"/>
      <c r="I34" s="68"/>
    </row>
    <row r="35" ht="15" customHeight="1">
      <c r="A35" s="51" t="s">
        <v>1629</v>
      </c>
      <c r="B35" s="53" t="s">
        <v>1630</v>
      </c>
      <c r="C35" s="54"/>
      <c r="D35" s="54"/>
      <c r="E35" s="55"/>
      <c r="F35" s="53" t="s">
        <v>1619</v>
      </c>
      <c r="G35" s="54"/>
      <c r="H35" s="54"/>
      <c r="I35" s="55"/>
    </row>
    <row r="36" ht="15" customHeight="1">
      <c r="A36" s="51" t="s">
        <v>1631</v>
      </c>
      <c r="B36" s="53" t="s">
        <v>1632</v>
      </c>
      <c r="C36" s="54"/>
      <c r="D36" s="54"/>
      <c r="E36" s="55"/>
      <c r="F36" s="53" t="s">
        <v>1619</v>
      </c>
      <c r="G36" s="54"/>
      <c r="H36" s="54"/>
      <c r="I36" s="55"/>
    </row>
    <row r="37" ht="28.5" customHeight="1">
      <c r="A37" s="51" t="s">
        <v>1633</v>
      </c>
      <c r="B37" s="52" t="s">
        <v>1634</v>
      </c>
      <c r="C37" s="52"/>
      <c r="D37" s="52"/>
      <c r="E37" s="52"/>
      <c r="F37" s="66" t="s">
        <v>1619</v>
      </c>
      <c r="G37" s="67"/>
      <c r="H37" s="67"/>
      <c r="I37" s="68"/>
    </row>
    <row r="38" ht="67.5" customHeight="1">
      <c r="A38" s="51" t="s">
        <v>1635</v>
      </c>
      <c r="B38" s="52" t="s">
        <v>1636</v>
      </c>
      <c r="C38" s="52"/>
      <c r="D38" s="52"/>
      <c r="E38" s="52"/>
      <c r="F38" s="66" t="s">
        <v>1637</v>
      </c>
      <c r="G38" s="67"/>
      <c r="H38" s="67"/>
      <c r="I38" s="68"/>
    </row>
    <row r="39" ht="32.25" customHeight="1">
      <c r="A39" s="51" t="s">
        <v>5</v>
      </c>
      <c r="B39" s="69" t="s">
        <v>1636</v>
      </c>
      <c r="C39" s="70"/>
      <c r="D39" s="70"/>
      <c r="E39" s="71"/>
      <c r="F39" s="53" t="s">
        <v>1638</v>
      </c>
      <c r="G39" s="54"/>
      <c r="H39" s="54"/>
      <c r="I39" s="55"/>
    </row>
    <row r="40" ht="15" customHeight="1">
      <c r="A40" s="51" t="s">
        <v>1639</v>
      </c>
      <c r="B40" s="53" t="s">
        <v>1640</v>
      </c>
      <c r="C40" s="54"/>
      <c r="D40" s="54"/>
      <c r="E40" s="55"/>
      <c r="F40" s="53" t="s">
        <v>1641</v>
      </c>
      <c r="G40" s="54"/>
      <c r="H40" s="54"/>
      <c r="I40" s="55"/>
    </row>
    <row r="41" ht="15" customHeight="1">
      <c r="A41" s="51" t="s">
        <v>1642</v>
      </c>
      <c r="B41" s="52" t="s">
        <v>1643</v>
      </c>
      <c r="C41" s="52"/>
      <c r="D41" s="52"/>
      <c r="E41" s="52"/>
      <c r="F41" s="53" t="s">
        <v>1641</v>
      </c>
      <c r="G41" s="54"/>
      <c r="H41" s="54"/>
      <c r="I41" s="55"/>
    </row>
    <row r="42" s="72" customFormat="1" ht="31.5" customHeight="1">
      <c r="A42" s="51" t="s">
        <v>1644</v>
      </c>
      <c r="B42" s="53" t="s">
        <v>1645</v>
      </c>
      <c r="C42" s="54"/>
      <c r="D42" s="54"/>
      <c r="E42" s="55"/>
      <c r="F42" s="72" t="s">
        <v>1619</v>
      </c>
      <c r="G42" s="73"/>
      <c r="H42" s="73"/>
      <c r="I42" s="73"/>
    </row>
    <row r="43" ht="36" customHeight="1">
      <c r="A43" s="51" t="s">
        <v>1646</v>
      </c>
      <c r="B43" s="53" t="s">
        <v>1647</v>
      </c>
      <c r="C43" s="54"/>
      <c r="D43" s="54"/>
      <c r="E43" s="55"/>
      <c r="F43" s="53" t="s">
        <v>1641</v>
      </c>
      <c r="G43" s="54"/>
      <c r="H43" s="54"/>
      <c r="I43" s="55"/>
    </row>
    <row r="44" ht="15" customHeight="1">
      <c r="A44" s="51" t="s">
        <v>1648</v>
      </c>
      <c r="B44" s="53" t="s">
        <v>1649</v>
      </c>
      <c r="C44" s="54"/>
      <c r="D44" s="54"/>
      <c r="E44" s="55"/>
      <c r="F44" s="53" t="s">
        <v>1650</v>
      </c>
      <c r="G44" s="54"/>
      <c r="H44" s="54"/>
      <c r="I44" s="55"/>
    </row>
    <row r="45" ht="48.75" customHeight="1">
      <c r="A45" s="51" t="s">
        <v>1651</v>
      </c>
      <c r="B45" s="52" t="s">
        <v>1652</v>
      </c>
      <c r="C45" s="52"/>
      <c r="D45" s="52"/>
      <c r="E45" s="52"/>
      <c r="F45" s="53" t="s">
        <v>1650</v>
      </c>
      <c r="G45" s="54"/>
      <c r="H45" s="54"/>
      <c r="I45" s="55"/>
    </row>
    <row r="46" ht="15" customHeight="1">
      <c r="A46" s="51" t="s">
        <v>1653</v>
      </c>
      <c r="B46" s="53" t="s">
        <v>1654</v>
      </c>
      <c r="C46" s="54"/>
      <c r="D46" s="54"/>
      <c r="E46" s="55"/>
      <c r="F46" s="53" t="s">
        <v>1650</v>
      </c>
      <c r="G46" s="54"/>
      <c r="H46" s="54"/>
      <c r="I46" s="55"/>
    </row>
    <row r="47" ht="46.5" customHeight="1">
      <c r="A47" s="51" t="s">
        <v>1655</v>
      </c>
      <c r="B47" s="52" t="s">
        <v>1656</v>
      </c>
      <c r="C47" s="52"/>
      <c r="D47" s="52"/>
      <c r="E47" s="52"/>
      <c r="F47" s="53" t="s">
        <v>1650</v>
      </c>
      <c r="G47" s="54"/>
      <c r="H47" s="54"/>
      <c r="I47" s="55"/>
    </row>
    <row r="48" ht="36" customHeight="1">
      <c r="A48" s="48" t="s">
        <v>1657</v>
      </c>
      <c r="B48" s="49"/>
      <c r="C48" s="49"/>
      <c r="D48" s="49"/>
      <c r="E48" s="49"/>
      <c r="F48" s="49"/>
      <c r="G48" s="49"/>
      <c r="H48" s="49"/>
      <c r="I48" s="50"/>
    </row>
    <row r="49" ht="18" customHeight="1">
      <c r="A49" s="59" t="s">
        <v>1616</v>
      </c>
      <c r="B49" s="60" t="s">
        <v>1617</v>
      </c>
      <c r="C49" s="61"/>
      <c r="D49" s="61"/>
      <c r="E49" s="62"/>
      <c r="F49" s="74"/>
      <c r="G49" s="75"/>
      <c r="H49" s="75"/>
      <c r="I49" s="76"/>
    </row>
    <row r="50" ht="15" customHeight="1">
      <c r="A50" s="51" t="s">
        <v>0</v>
      </c>
      <c r="B50" s="77" t="s">
        <v>1658</v>
      </c>
      <c r="C50" s="77"/>
      <c r="D50" s="77"/>
      <c r="E50" s="77"/>
      <c r="F50" s="78" t="s">
        <v>1659</v>
      </c>
      <c r="G50" s="79"/>
      <c r="H50" s="79"/>
      <c r="I50" s="80"/>
    </row>
    <row r="51" ht="29.25" customHeight="1">
      <c r="A51" s="51" t="s">
        <v>1660</v>
      </c>
      <c r="B51" s="77" t="s">
        <v>1661</v>
      </c>
      <c r="C51" s="77"/>
      <c r="D51" s="77"/>
      <c r="E51" s="77"/>
      <c r="F51" s="81"/>
      <c r="G51" s="82"/>
      <c r="H51" s="82"/>
      <c r="I51" s="83"/>
    </row>
    <row r="52" ht="37.5" customHeight="1">
      <c r="A52" s="51" t="s">
        <v>1662</v>
      </c>
      <c r="B52" s="77" t="s">
        <v>1663</v>
      </c>
      <c r="C52" s="77"/>
      <c r="D52" s="77"/>
      <c r="E52" s="77"/>
      <c r="F52" s="81"/>
      <c r="G52" s="82"/>
      <c r="H52" s="82"/>
      <c r="I52" s="83"/>
    </row>
    <row r="53" ht="28.899999999999999">
      <c r="A53" s="51" t="s">
        <v>1664</v>
      </c>
      <c r="B53" s="77" t="s">
        <v>1665</v>
      </c>
      <c r="C53" s="77"/>
      <c r="D53" s="77"/>
      <c r="E53" s="77"/>
      <c r="F53" s="84"/>
      <c r="G53" s="85"/>
      <c r="H53" s="85"/>
      <c r="I53" s="86"/>
    </row>
    <row r="54" ht="28.899999999999999">
      <c r="A54" s="87" t="s">
        <v>1666</v>
      </c>
      <c r="B54" s="88" t="s">
        <v>1667</v>
      </c>
      <c r="C54" s="89"/>
      <c r="D54" s="89"/>
      <c r="E54" s="90"/>
      <c r="F54" s="91"/>
      <c r="G54" s="92"/>
      <c r="H54" s="92"/>
      <c r="I54" s="93"/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</sheetData>
  <sheetProtection autoFilter="1" deleteColumns="1" deleteRows="1" formatCells="1" formatColumns="1" formatRows="1" insertColumns="1" insertHyperlinks="1" insertRows="1" pivotTables="1" selectLockedCells="1" selectUnlockedCells="1" sheet="0" sort="1"/>
  <mergeCells count="82">
    <mergeCell ref="B54:E54"/>
    <mergeCell ref="F54:I54"/>
    <mergeCell ref="B46:E46"/>
    <mergeCell ref="F46:I46"/>
    <mergeCell ref="B47:E47"/>
    <mergeCell ref="F47:I47"/>
    <mergeCell ref="A48:I48"/>
    <mergeCell ref="B49:E49"/>
    <mergeCell ref="F49:I49"/>
    <mergeCell ref="B50:E50"/>
    <mergeCell ref="F50:I53"/>
    <mergeCell ref="B51:E51"/>
    <mergeCell ref="B52:E52"/>
    <mergeCell ref="B53:E53"/>
    <mergeCell ref="B43:E43"/>
    <mergeCell ref="F43:I43"/>
    <mergeCell ref="B44:E44"/>
    <mergeCell ref="F44:I44"/>
    <mergeCell ref="B45:E45"/>
    <mergeCell ref="F45:I45"/>
    <mergeCell ref="B40:E40"/>
    <mergeCell ref="F40:I40"/>
    <mergeCell ref="B41:E41"/>
    <mergeCell ref="F41:I41"/>
    <mergeCell ref="B42:E42"/>
    <mergeCell ref="F42:XFD42"/>
    <mergeCell ref="B37:E37"/>
    <mergeCell ref="F37:I37"/>
    <mergeCell ref="B38:E38"/>
    <mergeCell ref="F38:I38"/>
    <mergeCell ref="B39:E39"/>
    <mergeCell ref="F39:I39"/>
    <mergeCell ref="B34:E34"/>
    <mergeCell ref="F34:I34"/>
    <mergeCell ref="B35:E35"/>
    <mergeCell ref="F35:I35"/>
    <mergeCell ref="B36:E36"/>
    <mergeCell ref="F36:I36"/>
    <mergeCell ref="B31:E31"/>
    <mergeCell ref="F31:I31"/>
    <mergeCell ref="B32:E32"/>
    <mergeCell ref="F32:I32"/>
    <mergeCell ref="B33:E33"/>
    <mergeCell ref="F33:I33"/>
    <mergeCell ref="B30:E30"/>
    <mergeCell ref="F30:I30"/>
    <mergeCell ref="B24:E24"/>
    <mergeCell ref="F24:I24"/>
    <mergeCell ref="B25:E25"/>
    <mergeCell ref="F25:I25"/>
    <mergeCell ref="B26:E26"/>
    <mergeCell ref="F26:I26"/>
    <mergeCell ref="B27:E27"/>
    <mergeCell ref="F27:I27"/>
    <mergeCell ref="A28:I28"/>
    <mergeCell ref="B29:E29"/>
    <mergeCell ref="F29:I29"/>
    <mergeCell ref="B23:E23"/>
    <mergeCell ref="F23:I23"/>
    <mergeCell ref="A12:I12"/>
    <mergeCell ref="A13:I13"/>
    <mergeCell ref="A14:I14"/>
    <mergeCell ref="A15:I15"/>
    <mergeCell ref="A16:I16"/>
    <mergeCell ref="A17:I17"/>
    <mergeCell ref="A18:I18"/>
    <mergeCell ref="A19:I19"/>
    <mergeCell ref="B21:E21"/>
    <mergeCell ref="F21:I21"/>
    <mergeCell ref="A22:I22"/>
    <mergeCell ref="A11:I11"/>
    <mergeCell ref="A1:H2"/>
    <mergeCell ref="A3:I3"/>
    <mergeCell ref="A4:I4"/>
    <mergeCell ref="A5:I5"/>
    <mergeCell ref="A6:I6"/>
    <mergeCell ref="A7:I7"/>
    <mergeCell ref="A8:B8"/>
    <mergeCell ref="C8:E8"/>
    <mergeCell ref="F8:I8"/>
    <mergeCell ref="A9:I9"/>
    <mergeCell ref="A10:I10"/>
  </mergeCells>
  <printOptions headings="0" gridLines="0"/>
  <pageMargins left="0.69999999999999996" right="0.69999999999999996" top="0.75" bottom="0.75" header="0.29999999999999999" footer="0.29999999999999999"/>
  <pageSetup paperSize="9" scale="44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3" id="{0036009E-00B1-461B-9A8B-005900D0008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A22</xm:sqref>
        </x14:conditionalFormatting>
        <x14:conditionalFormatting xmlns:xm="http://schemas.microsoft.com/office/excel/2006/main">
          <x14:cfRule type="duplicateValues" priority="2" id="{009800F6-00DC-4753-A201-004C00FA00C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A28:A29</xm:sqref>
        </x14:conditionalFormatting>
        <x14:conditionalFormatting xmlns:xm="http://schemas.microsoft.com/office/excel/2006/main">
          <x14:cfRule type="duplicateValues" priority="1" id="{006800EB-001E-4035-8D93-00260057008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A48:A49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Q20" zoomScale="70" workbookViewId="0">
      <selection activeCell="E30" activeCellId="0" sqref="E30"/>
    </sheetView>
  </sheetViews>
  <sheetFormatPr defaultColWidth="11.42578125" defaultRowHeight="12.75"/>
  <cols>
    <col bestFit="1" customWidth="1" min="1" max="1" width="6.85546875"/>
    <col bestFit="1" customWidth="1" min="2" max="2" width="25.5703125"/>
    <col customWidth="1" min="3" max="3" width="37.5703125"/>
    <col customWidth="1" min="4" max="4" width="24.5703125"/>
    <col customWidth="1" min="5" max="5" width="24.28515625"/>
    <col bestFit="1" customWidth="1" min="6" max="6" width="25.7109375"/>
    <col bestFit="1" customWidth="1" min="7" max="7" width="17.28515625"/>
    <col bestFit="1" customWidth="1" min="8" max="8" width="24.28515625"/>
    <col bestFit="1" customWidth="1" min="9" max="9" width="28.140625"/>
    <col bestFit="1" customWidth="1" min="10" max="10" width="29"/>
    <col customWidth="1" min="11" max="11" width="18.85546875"/>
    <col customWidth="1" min="12" max="12" width="53.85546875"/>
    <col customWidth="1" min="13" max="13" width="53.42578125"/>
    <col bestFit="1" customWidth="1" min="14" max="14" width="12.140625"/>
    <col customWidth="1" min="15" max="15" width="23.7109375"/>
    <col bestFit="1" customWidth="1" min="16" max="16" width="24.85546875"/>
    <col bestFit="1" customWidth="1" min="17" max="17" width="64"/>
    <col bestFit="1" customWidth="1" min="18" max="18" width="8.140625"/>
    <col bestFit="1" customWidth="1" min="19" max="19" width="39.85546875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8" t="s">
        <v>1580</v>
      </c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8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8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9" t="s">
        <v>1581</v>
      </c>
    </row>
    <row r="6" ht="12.7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9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9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9"/>
    </row>
    <row r="9" ht="23.25" customHeight="1">
      <c r="A9" s="159" t="s">
        <v>1582</v>
      </c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</row>
    <row r="10" ht="23.25" customHeight="1">
      <c r="A10" s="160" t="s">
        <v>1584</v>
      </c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</row>
    <row r="11" ht="23.25" customHeight="1">
      <c r="A11" s="159" t="s">
        <v>1585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</row>
    <row r="12" ht="23.25" customHeight="1">
      <c r="A12" s="160" t="s">
        <v>1586</v>
      </c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</row>
    <row r="13" ht="23.25" customHeight="1">
      <c r="A13" s="159" t="s">
        <v>1587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</row>
    <row r="14" ht="43.5" customHeight="1">
      <c r="A14" s="28" t="s">
        <v>1588</v>
      </c>
      <c r="B14" s="30"/>
      <c r="C14" s="30"/>
      <c r="D14" s="30"/>
      <c r="E14" s="30"/>
      <c r="F14" s="29"/>
      <c r="G14" s="28" t="s">
        <v>1589</v>
      </c>
      <c r="H14" s="30"/>
      <c r="I14" s="30"/>
      <c r="J14" s="29"/>
      <c r="K14" s="28" t="s">
        <v>1590</v>
      </c>
      <c r="L14" s="30"/>
      <c r="M14" s="30"/>
      <c r="N14" s="30"/>
      <c r="O14" s="30"/>
      <c r="P14" s="30"/>
      <c r="Q14" s="30"/>
      <c r="R14" s="30"/>
      <c r="S14" s="29"/>
    </row>
    <row r="15" ht="18.75">
      <c r="A15" s="161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3"/>
    </row>
    <row r="16" ht="16.5">
      <c r="A16" s="164" t="s">
        <v>1671</v>
      </c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</row>
    <row r="17" ht="15.75" customHeight="1">
      <c r="A17" s="165" t="s">
        <v>1606</v>
      </c>
      <c r="B17" s="165"/>
      <c r="C17" s="165"/>
      <c r="D17" s="165"/>
      <c r="E17" s="165" t="s">
        <v>1608</v>
      </c>
      <c r="F17" s="165"/>
      <c r="G17" s="165"/>
      <c r="H17" s="165"/>
      <c r="I17" s="166" t="s">
        <v>1672</v>
      </c>
      <c r="J17" s="167"/>
      <c r="K17" s="167"/>
      <c r="L17" s="167"/>
      <c r="M17" s="167"/>
      <c r="N17" s="167"/>
      <c r="O17" s="168"/>
      <c r="P17" s="165" t="s">
        <v>1613</v>
      </c>
      <c r="Q17" s="165"/>
      <c r="R17" s="165"/>
      <c r="S17" s="165"/>
    </row>
    <row r="18" ht="18">
      <c r="A18" s="169" t="s">
        <v>1760</v>
      </c>
      <c r="B18" s="169"/>
      <c r="C18" s="169"/>
      <c r="D18" s="169"/>
      <c r="E18" s="169" t="s">
        <v>1761</v>
      </c>
      <c r="F18" s="169"/>
      <c r="G18" s="169"/>
      <c r="H18" s="169"/>
      <c r="I18" s="170" t="s">
        <v>1762</v>
      </c>
      <c r="J18" s="171"/>
      <c r="K18" s="171"/>
      <c r="L18" s="171"/>
      <c r="M18" s="171"/>
      <c r="N18" s="171"/>
      <c r="O18" s="172"/>
      <c r="P18" s="173"/>
      <c r="Q18" s="173"/>
      <c r="R18" s="173"/>
      <c r="S18" s="173"/>
    </row>
    <row r="19" ht="16.5">
      <c r="A19" s="164" t="s">
        <v>1677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</row>
    <row r="20" ht="33">
      <c r="A20" s="164" t="s">
        <v>1616</v>
      </c>
      <c r="B20" s="164" t="s">
        <v>1678</v>
      </c>
      <c r="C20" s="164" t="s">
        <v>1679</v>
      </c>
      <c r="D20" s="164" t="s">
        <v>1606</v>
      </c>
      <c r="E20" s="164" t="s">
        <v>1608</v>
      </c>
      <c r="F20" s="164" t="s">
        <v>1680</v>
      </c>
      <c r="G20" s="164" t="s">
        <v>1681</v>
      </c>
      <c r="H20" s="164" t="s">
        <v>1682</v>
      </c>
      <c r="I20" s="164" t="s">
        <v>1633</v>
      </c>
      <c r="J20" s="164" t="s">
        <v>1635</v>
      </c>
      <c r="K20" s="164" t="s">
        <v>1683</v>
      </c>
      <c r="L20" s="164" t="s">
        <v>1644</v>
      </c>
      <c r="M20" s="164" t="s">
        <v>1684</v>
      </c>
      <c r="N20" s="164" t="s">
        <v>1685</v>
      </c>
      <c r="O20" s="164" t="s">
        <v>122</v>
      </c>
      <c r="P20" s="164" t="s">
        <v>1648</v>
      </c>
      <c r="Q20" s="164" t="s">
        <v>1686</v>
      </c>
      <c r="R20" s="164" t="s">
        <v>1653</v>
      </c>
      <c r="S20" s="174" t="s">
        <v>1655</v>
      </c>
    </row>
    <row r="21" ht="25.5">
      <c r="A21" s="122">
        <v>2</v>
      </c>
      <c r="B21" s="175" t="s">
        <v>13</v>
      </c>
      <c r="C21" s="176"/>
      <c r="D21" s="177" t="s">
        <v>1763</v>
      </c>
      <c r="E21" s="177" t="s">
        <v>1764</v>
      </c>
      <c r="F21" s="177">
        <v>52071152</v>
      </c>
      <c r="G21" s="177">
        <v>3105508283</v>
      </c>
      <c r="H21" s="178" t="s">
        <v>1765</v>
      </c>
      <c r="I21" s="19" t="s">
        <v>3</v>
      </c>
      <c r="J21" s="19" t="s">
        <v>97</v>
      </c>
      <c r="K21" s="19" t="s">
        <v>10</v>
      </c>
      <c r="L21" s="19" t="s">
        <v>1766</v>
      </c>
      <c r="M21" s="179" t="s">
        <v>295</v>
      </c>
      <c r="N21" s="180" t="s">
        <v>328</v>
      </c>
      <c r="O21" s="179" t="s">
        <v>286</v>
      </c>
      <c r="P21" s="19"/>
      <c r="Q21" s="133"/>
      <c r="R21" s="133"/>
      <c r="S21" s="181"/>
    </row>
    <row r="22" ht="16.5">
      <c r="A22" s="122">
        <v>3</v>
      </c>
      <c r="B22" s="175"/>
      <c r="C22" s="176"/>
      <c r="D22" s="177"/>
      <c r="E22" s="177"/>
      <c r="F22" s="177"/>
      <c r="G22" s="177"/>
      <c r="H22" s="182"/>
      <c r="I22" s="19"/>
      <c r="J22" s="19"/>
      <c r="K22" s="19"/>
      <c r="L22" s="19"/>
      <c r="M22" s="179"/>
      <c r="N22" s="180"/>
      <c r="O22" s="179"/>
      <c r="P22" s="19"/>
      <c r="Q22" s="133"/>
      <c r="R22" s="133"/>
      <c r="S22" s="181"/>
    </row>
    <row r="23" ht="16.5">
      <c r="A23" s="122">
        <v>4</v>
      </c>
      <c r="B23" s="175"/>
      <c r="C23" s="176"/>
      <c r="D23" s="177"/>
      <c r="E23" s="177"/>
      <c r="F23" s="177"/>
      <c r="G23" s="177"/>
      <c r="H23" s="178"/>
      <c r="I23" s="19"/>
      <c r="J23" s="19"/>
      <c r="K23" s="19"/>
      <c r="L23" s="19"/>
      <c r="M23" s="179"/>
      <c r="N23" s="180"/>
      <c r="O23" s="179"/>
      <c r="P23" s="19"/>
      <c r="Q23" s="132"/>
      <c r="R23" s="133"/>
      <c r="S23" s="181"/>
    </row>
    <row r="24" ht="16.5">
      <c r="A24" s="122">
        <v>5</v>
      </c>
      <c r="B24" s="175"/>
      <c r="C24" s="176"/>
      <c r="D24" s="177"/>
      <c r="E24" s="177"/>
      <c r="F24" s="177"/>
      <c r="G24" s="177"/>
      <c r="H24" s="177"/>
      <c r="I24" s="19"/>
      <c r="J24" s="19"/>
      <c r="K24" s="19"/>
      <c r="L24" s="19"/>
      <c r="M24" s="179"/>
      <c r="N24" s="180"/>
      <c r="O24" s="179"/>
      <c r="P24" s="19"/>
      <c r="Q24" s="132"/>
      <c r="R24" s="133"/>
      <c r="S24" s="181"/>
    </row>
    <row r="25" ht="16.5">
      <c r="A25" s="122">
        <v>6</v>
      </c>
      <c r="B25" s="175"/>
      <c r="C25" s="176"/>
      <c r="D25" s="177"/>
      <c r="E25" s="177"/>
      <c r="F25" s="177"/>
      <c r="G25" s="177"/>
      <c r="H25" s="177"/>
      <c r="I25" s="19"/>
      <c r="J25" s="19"/>
      <c r="K25" s="19"/>
      <c r="L25" s="19"/>
      <c r="M25" s="179"/>
      <c r="N25" s="180"/>
      <c r="O25" s="179"/>
      <c r="P25" s="19"/>
      <c r="Q25" s="132"/>
      <c r="R25" s="133"/>
      <c r="S25" s="181"/>
    </row>
    <row r="26" ht="16.5">
      <c r="A26" s="122">
        <v>7</v>
      </c>
      <c r="B26" s="175"/>
      <c r="C26" s="176"/>
      <c r="D26" s="177"/>
      <c r="E26" s="177"/>
      <c r="F26" s="177"/>
      <c r="G26" s="177"/>
      <c r="H26" s="177"/>
      <c r="I26" s="19"/>
      <c r="J26" s="19"/>
      <c r="K26" s="19"/>
      <c r="L26" s="19"/>
      <c r="M26" s="179"/>
      <c r="N26" s="180"/>
      <c r="O26" s="179"/>
      <c r="P26" s="19"/>
      <c r="Q26" s="132"/>
      <c r="R26" s="133"/>
      <c r="S26" s="183"/>
    </row>
    <row r="27" ht="16.5">
      <c r="A27" s="122">
        <v>8</v>
      </c>
      <c r="B27" s="175"/>
      <c r="C27" s="176"/>
      <c r="D27" s="177"/>
      <c r="E27" s="177"/>
      <c r="F27" s="177"/>
      <c r="G27" s="177"/>
      <c r="H27" s="177"/>
      <c r="I27" s="19"/>
      <c r="J27" s="19"/>
      <c r="K27" s="19"/>
      <c r="L27" s="19"/>
      <c r="M27" s="179"/>
      <c r="N27" s="180"/>
      <c r="O27" s="179"/>
      <c r="P27" s="19"/>
      <c r="Q27" s="132"/>
      <c r="R27" s="133"/>
      <c r="S27" s="183"/>
    </row>
    <row r="28" ht="16.5">
      <c r="A28" s="122">
        <v>9</v>
      </c>
      <c r="B28" s="175"/>
      <c r="C28" s="176"/>
      <c r="D28" s="177"/>
      <c r="E28" s="177"/>
      <c r="F28" s="177"/>
      <c r="G28" s="177"/>
      <c r="H28" s="177"/>
      <c r="I28" s="19"/>
      <c r="J28" s="19"/>
      <c r="K28" s="19"/>
      <c r="L28" s="19"/>
      <c r="M28" s="179"/>
      <c r="N28" s="180"/>
      <c r="O28" s="179"/>
      <c r="P28" s="19"/>
      <c r="Q28" s="132"/>
      <c r="R28" s="133"/>
      <c r="S28" s="183"/>
    </row>
    <row r="29" ht="16.5">
      <c r="A29" s="122">
        <v>10</v>
      </c>
      <c r="B29" s="175"/>
      <c r="C29" s="176"/>
      <c r="D29" s="177"/>
      <c r="E29" s="177"/>
      <c r="F29" s="177"/>
      <c r="G29" s="177"/>
      <c r="H29" s="177"/>
      <c r="I29" s="19"/>
      <c r="J29" s="19"/>
      <c r="K29" s="19"/>
      <c r="L29" s="19"/>
      <c r="M29" s="179"/>
      <c r="N29" s="180"/>
      <c r="O29" s="179"/>
      <c r="P29" s="19"/>
      <c r="Q29" s="132"/>
      <c r="R29" s="133"/>
      <c r="S29" s="183"/>
    </row>
    <row r="30" ht="16.5">
      <c r="A30" s="122">
        <v>11</v>
      </c>
      <c r="B30" s="175"/>
      <c r="C30" s="176"/>
      <c r="D30" s="177"/>
      <c r="E30" s="177"/>
      <c r="F30" s="177"/>
      <c r="G30" s="177"/>
      <c r="H30" s="177"/>
      <c r="I30" s="19"/>
      <c r="J30" s="19"/>
      <c r="K30" s="19"/>
      <c r="L30" s="19"/>
      <c r="M30" s="179"/>
      <c r="N30" s="180"/>
      <c r="O30" s="179"/>
      <c r="P30" s="19"/>
      <c r="Q30" s="132"/>
      <c r="R30" s="133"/>
      <c r="S30" s="183"/>
    </row>
    <row r="31" ht="16.5">
      <c r="A31" s="122">
        <v>12</v>
      </c>
      <c r="B31" s="175"/>
      <c r="C31" s="176"/>
      <c r="D31" s="177"/>
      <c r="E31" s="177"/>
      <c r="F31" s="177"/>
      <c r="G31" s="177"/>
      <c r="H31" s="177"/>
      <c r="I31" s="19"/>
      <c r="J31" s="19"/>
      <c r="K31" s="19"/>
      <c r="L31" s="19"/>
      <c r="M31" s="179"/>
      <c r="N31" s="180"/>
      <c r="O31" s="179"/>
      <c r="P31" s="19"/>
      <c r="Q31" s="132"/>
      <c r="R31" s="133"/>
      <c r="S31" s="183"/>
    </row>
    <row r="32" ht="16.5">
      <c r="A32" s="122">
        <v>13</v>
      </c>
      <c r="B32" s="175"/>
      <c r="C32" s="176"/>
      <c r="D32" s="177"/>
      <c r="E32" s="177"/>
      <c r="F32" s="177"/>
      <c r="G32" s="177"/>
      <c r="H32" s="177"/>
      <c r="I32" s="19"/>
      <c r="J32" s="19"/>
      <c r="K32" s="19"/>
      <c r="L32" s="19"/>
      <c r="M32" s="179"/>
      <c r="N32" s="180"/>
      <c r="O32" s="179"/>
      <c r="P32" s="19"/>
      <c r="Q32" s="132"/>
      <c r="R32" s="133"/>
      <c r="S32" s="183"/>
    </row>
    <row r="33" ht="16.5">
      <c r="A33" s="122">
        <v>14</v>
      </c>
      <c r="B33" s="175"/>
      <c r="C33" s="176"/>
      <c r="D33" s="177"/>
      <c r="E33" s="177"/>
      <c r="F33" s="177"/>
      <c r="G33" s="177"/>
      <c r="H33" s="177"/>
      <c r="I33" s="19"/>
      <c r="J33" s="19"/>
      <c r="K33" s="19"/>
      <c r="L33" s="19"/>
      <c r="M33" s="179"/>
      <c r="N33" s="180"/>
      <c r="O33" s="179"/>
      <c r="P33" s="19"/>
      <c r="Q33" s="132"/>
      <c r="R33" s="133"/>
      <c r="S33" s="183"/>
    </row>
    <row r="34" ht="16.5">
      <c r="A34" s="122">
        <v>15</v>
      </c>
      <c r="B34" s="175"/>
      <c r="C34" s="176"/>
      <c r="D34" s="177"/>
      <c r="E34" s="177"/>
      <c r="F34" s="177"/>
      <c r="G34" s="177"/>
      <c r="H34" s="177"/>
      <c r="I34" s="19"/>
      <c r="J34" s="19"/>
      <c r="K34" s="19"/>
      <c r="L34" s="19"/>
      <c r="M34" s="179"/>
      <c r="N34" s="180"/>
      <c r="O34" s="179"/>
      <c r="P34" s="19"/>
      <c r="Q34" s="132"/>
      <c r="R34" s="133"/>
      <c r="S34" s="183"/>
    </row>
    <row r="35" ht="16.5">
      <c r="A35" s="122">
        <v>16</v>
      </c>
      <c r="B35" s="175"/>
      <c r="C35" s="176"/>
      <c r="D35" s="177"/>
      <c r="E35" s="177"/>
      <c r="F35" s="177"/>
      <c r="G35" s="177"/>
      <c r="H35" s="177"/>
      <c r="I35" s="19"/>
      <c r="J35" s="19"/>
      <c r="K35" s="19"/>
      <c r="L35" s="19"/>
      <c r="M35" s="179"/>
      <c r="N35" s="180"/>
      <c r="O35" s="179"/>
      <c r="P35" s="19"/>
      <c r="Q35" s="132"/>
      <c r="R35" s="133"/>
      <c r="S35" s="183"/>
    </row>
    <row r="36" ht="16.5">
      <c r="A36" s="122">
        <v>17</v>
      </c>
      <c r="B36" s="175"/>
      <c r="C36" s="176"/>
      <c r="D36" s="177"/>
      <c r="E36" s="177"/>
      <c r="F36" s="177"/>
      <c r="G36" s="177"/>
      <c r="H36" s="177"/>
      <c r="I36" s="19"/>
      <c r="J36" s="19"/>
      <c r="K36" s="19"/>
      <c r="L36" s="19"/>
      <c r="M36" s="179"/>
      <c r="N36" s="180"/>
      <c r="O36" s="179"/>
      <c r="P36" s="19"/>
      <c r="Q36" s="132"/>
      <c r="R36" s="133"/>
      <c r="S36" s="183"/>
    </row>
    <row r="37" ht="16.5">
      <c r="A37" s="122">
        <v>18</v>
      </c>
      <c r="B37" s="175"/>
      <c r="C37" s="176"/>
      <c r="D37" s="177"/>
      <c r="E37" s="177"/>
      <c r="F37" s="177"/>
      <c r="G37" s="177"/>
      <c r="H37" s="177"/>
      <c r="I37" s="19"/>
      <c r="J37" s="19"/>
      <c r="K37" s="19"/>
      <c r="L37" s="19"/>
      <c r="M37" s="179"/>
      <c r="N37" s="180"/>
      <c r="O37" s="179"/>
      <c r="P37" s="19"/>
      <c r="Q37" s="132"/>
      <c r="R37" s="133"/>
      <c r="S37" s="183"/>
    </row>
    <row r="38" ht="16.5">
      <c r="A38" s="122">
        <v>19</v>
      </c>
      <c r="B38" s="175"/>
      <c r="C38" s="176"/>
      <c r="D38" s="177"/>
      <c r="E38" s="177"/>
      <c r="F38" s="177"/>
      <c r="G38" s="177"/>
      <c r="H38" s="177"/>
      <c r="I38" s="19"/>
      <c r="J38" s="19"/>
      <c r="K38" s="19"/>
      <c r="L38" s="19"/>
      <c r="M38" s="179"/>
      <c r="N38" s="180"/>
      <c r="O38" s="179"/>
      <c r="P38" s="19"/>
      <c r="Q38" s="132"/>
      <c r="R38" s="133"/>
      <c r="S38" s="183"/>
    </row>
    <row r="39" ht="16.5">
      <c r="A39" s="122">
        <v>20</v>
      </c>
      <c r="B39" s="175"/>
      <c r="C39" s="176"/>
      <c r="D39" s="177"/>
      <c r="E39" s="177"/>
      <c r="F39" s="177"/>
      <c r="G39" s="177"/>
      <c r="H39" s="177"/>
      <c r="I39" s="19"/>
      <c r="J39" s="19"/>
      <c r="K39" s="19"/>
      <c r="L39" s="19"/>
      <c r="M39" s="179"/>
      <c r="N39" s="180"/>
      <c r="O39" s="179"/>
      <c r="P39" s="19"/>
      <c r="Q39" s="132"/>
      <c r="R39" s="133"/>
      <c r="S39" s="183"/>
    </row>
    <row r="40" ht="16.5">
      <c r="A40" s="122">
        <v>21</v>
      </c>
      <c r="B40" s="175"/>
      <c r="C40" s="176"/>
      <c r="D40" s="177"/>
      <c r="E40" s="177"/>
      <c r="F40" s="177"/>
      <c r="G40" s="177"/>
      <c r="H40" s="177"/>
      <c r="I40" s="19"/>
      <c r="J40" s="19"/>
      <c r="K40" s="19"/>
      <c r="L40" s="19"/>
      <c r="M40" s="179"/>
      <c r="N40" s="180"/>
      <c r="O40" s="179"/>
      <c r="P40" s="19"/>
      <c r="Q40" s="132"/>
      <c r="R40" s="133"/>
      <c r="S40" s="183"/>
    </row>
    <row r="41" ht="16.5">
      <c r="A41" s="122">
        <v>22</v>
      </c>
      <c r="B41" s="175"/>
      <c r="C41" s="176"/>
      <c r="D41" s="177"/>
      <c r="E41" s="177"/>
      <c r="F41" s="177"/>
      <c r="G41" s="177"/>
      <c r="H41" s="177"/>
      <c r="I41" s="19"/>
      <c r="J41" s="19"/>
      <c r="K41" s="19"/>
      <c r="L41" s="19"/>
      <c r="M41" s="179"/>
      <c r="N41" s="180"/>
      <c r="O41" s="179"/>
      <c r="P41" s="19"/>
      <c r="Q41" s="132"/>
      <c r="R41" s="133"/>
      <c r="S41" s="183"/>
    </row>
    <row r="42" ht="16.5">
      <c r="A42" s="122">
        <v>23</v>
      </c>
      <c r="B42" s="175"/>
      <c r="C42" s="176"/>
      <c r="D42" s="177"/>
      <c r="E42" s="177"/>
      <c r="F42" s="177"/>
      <c r="G42" s="177"/>
      <c r="H42" s="177"/>
      <c r="I42" s="19"/>
      <c r="J42" s="19"/>
      <c r="K42" s="19"/>
      <c r="L42" s="19"/>
      <c r="M42" s="179"/>
      <c r="N42" s="180"/>
      <c r="O42" s="179"/>
      <c r="P42" s="19"/>
      <c r="Q42" s="132"/>
      <c r="R42" s="133"/>
      <c r="S42" s="183"/>
    </row>
    <row r="43" ht="16.5">
      <c r="A43" s="122">
        <v>24</v>
      </c>
      <c r="B43" s="175"/>
      <c r="C43" s="176"/>
      <c r="D43" s="177"/>
      <c r="E43" s="177"/>
      <c r="F43" s="177"/>
      <c r="G43" s="177"/>
      <c r="H43" s="177"/>
      <c r="I43" s="19"/>
      <c r="J43" s="19"/>
      <c r="K43" s="19"/>
      <c r="L43" s="19"/>
      <c r="M43" s="179"/>
      <c r="N43" s="180"/>
      <c r="O43" s="179"/>
      <c r="P43" s="19"/>
      <c r="Q43" s="132"/>
      <c r="R43" s="133"/>
      <c r="S43" s="183"/>
    </row>
    <row r="44" ht="16.5">
      <c r="A44" s="122">
        <v>25</v>
      </c>
      <c r="B44" s="175"/>
      <c r="C44" s="176"/>
      <c r="D44" s="177"/>
      <c r="E44" s="177"/>
      <c r="F44" s="177"/>
      <c r="G44" s="177"/>
      <c r="H44" s="177"/>
      <c r="I44" s="19"/>
      <c r="J44" s="19"/>
      <c r="K44" s="19"/>
      <c r="L44" s="19"/>
      <c r="M44" s="179"/>
      <c r="N44" s="180"/>
      <c r="O44" s="179"/>
      <c r="P44" s="19"/>
      <c r="Q44" s="132"/>
      <c r="R44" s="133"/>
      <c r="S44" s="183"/>
    </row>
    <row r="45" ht="16.5">
      <c r="A45" s="122">
        <v>26</v>
      </c>
      <c r="B45" s="175"/>
      <c r="C45" s="176"/>
      <c r="D45" s="177"/>
      <c r="E45" s="177"/>
      <c r="F45" s="177"/>
      <c r="G45" s="177"/>
      <c r="H45" s="177"/>
      <c r="I45" s="19"/>
      <c r="J45" s="19"/>
      <c r="K45" s="19"/>
      <c r="L45" s="19"/>
      <c r="M45" s="179"/>
      <c r="N45" s="180"/>
      <c r="O45" s="179"/>
      <c r="P45" s="19"/>
      <c r="Q45" s="132"/>
      <c r="R45" s="133"/>
      <c r="S45" s="183"/>
    </row>
    <row r="46" ht="16.5">
      <c r="A46" s="122">
        <v>27</v>
      </c>
      <c r="B46" s="175"/>
      <c r="C46" s="176"/>
      <c r="D46" s="177"/>
      <c r="E46" s="177"/>
      <c r="F46" s="177"/>
      <c r="G46" s="177"/>
      <c r="H46" s="177"/>
      <c r="I46" s="19"/>
      <c r="J46" s="19"/>
      <c r="K46" s="19"/>
      <c r="L46" s="19"/>
      <c r="M46" s="179"/>
      <c r="N46" s="180"/>
      <c r="O46" s="179"/>
      <c r="P46" s="19"/>
      <c r="Q46" s="132"/>
      <c r="R46" s="133"/>
      <c r="S46" s="183"/>
    </row>
    <row r="47" ht="16.5">
      <c r="A47" s="122">
        <v>28</v>
      </c>
      <c r="B47" s="175"/>
      <c r="C47" s="176"/>
      <c r="D47" s="177"/>
      <c r="E47" s="177"/>
      <c r="F47" s="177"/>
      <c r="G47" s="177"/>
      <c r="H47" s="177"/>
      <c r="I47" s="19"/>
      <c r="J47" s="19"/>
      <c r="K47" s="19"/>
      <c r="L47" s="19"/>
      <c r="M47" s="179"/>
      <c r="N47" s="180"/>
      <c r="O47" s="179"/>
      <c r="P47" s="19"/>
      <c r="Q47" s="132"/>
      <c r="R47" s="133"/>
      <c r="S47" s="183"/>
    </row>
    <row r="48" ht="16.5">
      <c r="A48" s="122">
        <v>29</v>
      </c>
      <c r="B48" s="175"/>
      <c r="C48" s="176"/>
      <c r="D48" s="177"/>
      <c r="E48" s="177"/>
      <c r="F48" s="177"/>
      <c r="G48" s="177"/>
      <c r="H48" s="177"/>
      <c r="I48" s="19"/>
      <c r="J48" s="19"/>
      <c r="K48" s="19"/>
      <c r="L48" s="19"/>
      <c r="M48" s="179"/>
      <c r="N48" s="180"/>
      <c r="O48" s="179"/>
      <c r="P48" s="19"/>
      <c r="Q48" s="132"/>
      <c r="R48" s="133"/>
      <c r="S48" s="183"/>
    </row>
    <row r="49" ht="16.5">
      <c r="A49" s="122">
        <v>30</v>
      </c>
      <c r="B49" s="175"/>
      <c r="C49" s="176"/>
      <c r="D49" s="177"/>
      <c r="E49" s="177"/>
      <c r="F49" s="177"/>
      <c r="G49" s="177"/>
      <c r="H49" s="177"/>
      <c r="I49" s="19"/>
      <c r="J49" s="19"/>
      <c r="K49" s="19"/>
      <c r="L49" s="19"/>
      <c r="M49" s="179"/>
      <c r="N49" s="180"/>
      <c r="O49" s="179"/>
      <c r="P49" s="19"/>
      <c r="Q49" s="132"/>
      <c r="R49" s="133"/>
      <c r="S49" s="183"/>
    </row>
    <row r="50" ht="16.5">
      <c r="A50" s="122">
        <v>31</v>
      </c>
      <c r="B50" s="175"/>
      <c r="C50" s="176"/>
      <c r="D50" s="177"/>
      <c r="E50" s="177"/>
      <c r="F50" s="177"/>
      <c r="G50" s="177"/>
      <c r="H50" s="177"/>
      <c r="I50" s="19"/>
      <c r="J50" s="19"/>
      <c r="K50" s="19"/>
      <c r="L50" s="19"/>
      <c r="M50" s="179"/>
      <c r="N50" s="180"/>
      <c r="O50" s="179"/>
      <c r="P50" s="19"/>
      <c r="Q50" s="132"/>
      <c r="R50" s="133"/>
      <c r="S50" s="183"/>
    </row>
    <row r="51" ht="16.5">
      <c r="A51" s="122">
        <v>32</v>
      </c>
      <c r="B51" s="175"/>
      <c r="C51" s="176"/>
      <c r="D51" s="177"/>
      <c r="E51" s="177"/>
      <c r="F51" s="177"/>
      <c r="G51" s="177"/>
      <c r="H51" s="177"/>
      <c r="I51" s="19"/>
      <c r="J51" s="19"/>
      <c r="K51" s="19"/>
      <c r="L51" s="19"/>
      <c r="M51" s="179"/>
      <c r="N51" s="180"/>
      <c r="O51" s="179"/>
      <c r="P51" s="19"/>
      <c r="Q51" s="132"/>
      <c r="R51" s="133"/>
      <c r="S51" s="183"/>
    </row>
    <row r="52" ht="16.5">
      <c r="A52" s="122">
        <v>33</v>
      </c>
      <c r="B52" s="175"/>
      <c r="C52" s="176"/>
      <c r="D52" s="177"/>
      <c r="E52" s="177"/>
      <c r="F52" s="177"/>
      <c r="G52" s="177"/>
      <c r="H52" s="177"/>
      <c r="I52" s="19"/>
      <c r="J52" s="19"/>
      <c r="K52" s="19"/>
      <c r="L52" s="19"/>
      <c r="M52" s="179"/>
      <c r="N52" s="180"/>
      <c r="O52" s="179"/>
      <c r="P52" s="19"/>
      <c r="Q52" s="132"/>
      <c r="R52" s="133"/>
      <c r="S52" s="183"/>
    </row>
    <row r="53" ht="16.5">
      <c r="A53" s="122">
        <v>34</v>
      </c>
      <c r="B53" s="175"/>
      <c r="C53" s="176"/>
      <c r="D53" s="177"/>
      <c r="E53" s="177"/>
      <c r="F53" s="177"/>
      <c r="G53" s="177"/>
      <c r="H53" s="177"/>
      <c r="I53" s="19"/>
      <c r="J53" s="19"/>
      <c r="K53" s="19"/>
      <c r="L53" s="19"/>
      <c r="M53" s="179"/>
      <c r="N53" s="180"/>
      <c r="O53" s="179"/>
      <c r="P53" s="19"/>
      <c r="Q53" s="132"/>
      <c r="R53" s="133"/>
      <c r="S53" s="183"/>
    </row>
    <row r="54" ht="16.5">
      <c r="A54" s="122">
        <v>35</v>
      </c>
      <c r="B54" s="175"/>
      <c r="C54" s="176"/>
      <c r="D54" s="177"/>
      <c r="E54" s="177"/>
      <c r="F54" s="177"/>
      <c r="G54" s="177"/>
      <c r="H54" s="177"/>
      <c r="I54" s="19"/>
      <c r="J54" s="19"/>
      <c r="K54" s="19"/>
      <c r="L54" s="19"/>
      <c r="M54" s="179"/>
      <c r="N54" s="180"/>
      <c r="O54" s="179"/>
      <c r="P54" s="19"/>
      <c r="Q54" s="132"/>
      <c r="R54" s="133"/>
      <c r="S54" s="183"/>
    </row>
    <row r="55" ht="16.5">
      <c r="A55" s="122">
        <v>36</v>
      </c>
      <c r="B55" s="175"/>
      <c r="C55" s="176"/>
      <c r="D55" s="177"/>
      <c r="E55" s="177"/>
      <c r="F55" s="177"/>
      <c r="G55" s="177"/>
      <c r="H55" s="177"/>
      <c r="I55" s="19"/>
      <c r="J55" s="19"/>
      <c r="K55" s="19"/>
      <c r="L55" s="19"/>
      <c r="M55" s="179"/>
      <c r="N55" s="180"/>
      <c r="O55" s="179"/>
      <c r="P55" s="19"/>
      <c r="Q55" s="132"/>
      <c r="R55" s="133"/>
      <c r="S55" s="183"/>
    </row>
    <row r="56" ht="16.5">
      <c r="A56" s="122">
        <v>37</v>
      </c>
      <c r="B56" s="175"/>
      <c r="C56" s="176"/>
      <c r="D56" s="177"/>
      <c r="E56" s="177"/>
      <c r="F56" s="177"/>
      <c r="G56" s="177"/>
      <c r="H56" s="177"/>
      <c r="I56" s="19"/>
      <c r="J56" s="19"/>
      <c r="K56" s="19"/>
      <c r="L56" s="19"/>
      <c r="M56" s="179"/>
      <c r="N56" s="180"/>
      <c r="O56" s="179"/>
      <c r="P56" s="19"/>
      <c r="Q56" s="132"/>
      <c r="R56" s="133"/>
      <c r="S56" s="183"/>
    </row>
    <row r="57" ht="16.5">
      <c r="A57" s="122">
        <v>38</v>
      </c>
      <c r="B57" s="175"/>
      <c r="C57" s="176"/>
      <c r="D57" s="177"/>
      <c r="E57" s="177"/>
      <c r="F57" s="177"/>
      <c r="G57" s="177"/>
      <c r="H57" s="177"/>
      <c r="I57" s="19"/>
      <c r="J57" s="19"/>
      <c r="K57" s="19"/>
      <c r="L57" s="19"/>
      <c r="M57" s="179"/>
      <c r="N57" s="180"/>
      <c r="O57" s="179"/>
      <c r="P57" s="19"/>
      <c r="Q57" s="132"/>
      <c r="R57" s="133"/>
      <c r="S57" s="183"/>
    </row>
    <row r="58" ht="16.5">
      <c r="A58" s="122">
        <v>39</v>
      </c>
      <c r="B58" s="175"/>
      <c r="C58" s="176"/>
      <c r="D58" s="177"/>
      <c r="E58" s="177"/>
      <c r="F58" s="177"/>
      <c r="G58" s="177"/>
      <c r="H58" s="177"/>
      <c r="I58" s="19"/>
      <c r="J58" s="19"/>
      <c r="K58" s="19"/>
      <c r="L58" s="19"/>
      <c r="M58" s="179"/>
      <c r="N58" s="180"/>
      <c r="O58" s="179"/>
      <c r="P58" s="19"/>
      <c r="Q58" s="132"/>
      <c r="R58" s="133"/>
      <c r="S58" s="183"/>
    </row>
    <row r="59" ht="16.5">
      <c r="A59" s="122">
        <v>40</v>
      </c>
      <c r="B59" s="175"/>
      <c r="C59" s="176"/>
      <c r="D59" s="177"/>
      <c r="E59" s="177"/>
      <c r="F59" s="177"/>
      <c r="G59" s="177"/>
      <c r="H59" s="177"/>
      <c r="I59" s="19"/>
      <c r="J59" s="19"/>
      <c r="K59" s="19"/>
      <c r="L59" s="19"/>
      <c r="M59" s="179"/>
      <c r="N59" s="180"/>
      <c r="O59" s="179"/>
      <c r="P59" s="19"/>
      <c r="Q59" s="132"/>
      <c r="R59" s="133"/>
      <c r="S59" s="183"/>
    </row>
    <row r="60" s="184" customFormat="1" ht="16.5">
      <c r="A60" s="164" t="s">
        <v>1690</v>
      </c>
      <c r="B60" s="164"/>
      <c r="C60" s="164"/>
      <c r="D60" s="164"/>
      <c r="E60" s="164"/>
      <c r="F60" s="164"/>
      <c r="G60" s="164"/>
      <c r="H60" s="164"/>
      <c r="I60" s="164"/>
      <c r="J60" s="164" t="s">
        <v>1691</v>
      </c>
      <c r="K60" s="164"/>
      <c r="L60" s="164"/>
      <c r="M60" s="164"/>
      <c r="N60" s="164"/>
      <c r="O60" s="164"/>
      <c r="P60" s="164"/>
      <c r="Q60" s="164"/>
      <c r="R60" s="164"/>
      <c r="S60" s="164"/>
    </row>
    <row r="61" s="184" customFormat="1" ht="16.5">
      <c r="A61" s="164" t="s">
        <v>1616</v>
      </c>
      <c r="B61" s="164" t="s">
        <v>1692</v>
      </c>
      <c r="C61" s="164" t="s">
        <v>1660</v>
      </c>
      <c r="D61" s="164" t="s">
        <v>1662</v>
      </c>
      <c r="E61" s="164"/>
      <c r="F61" s="164" t="s">
        <v>1664</v>
      </c>
      <c r="G61" s="164"/>
      <c r="H61" s="164"/>
      <c r="I61" s="164"/>
      <c r="J61" s="185"/>
      <c r="K61" s="185"/>
      <c r="L61" s="185"/>
      <c r="M61" s="185"/>
      <c r="N61" s="185"/>
      <c r="O61" s="185"/>
      <c r="P61" s="185"/>
      <c r="Q61" s="185"/>
      <c r="R61" s="185"/>
      <c r="S61" s="185"/>
    </row>
    <row r="62" ht="16.5">
      <c r="A62" s="186">
        <v>1</v>
      </c>
      <c r="B62" s="187"/>
      <c r="C62" s="188"/>
      <c r="D62" s="189"/>
      <c r="E62" s="189"/>
      <c r="F62" s="176"/>
      <c r="G62" s="176"/>
      <c r="H62" s="176"/>
      <c r="I62" s="176"/>
      <c r="J62" s="185"/>
      <c r="K62" s="185"/>
      <c r="L62" s="185"/>
      <c r="M62" s="185"/>
      <c r="N62" s="185"/>
      <c r="O62" s="185"/>
      <c r="P62" s="185"/>
      <c r="Q62" s="185"/>
      <c r="R62" s="185"/>
      <c r="S62" s="185"/>
    </row>
    <row r="63" ht="16.5">
      <c r="A63" s="186">
        <v>2</v>
      </c>
      <c r="B63" s="187"/>
      <c r="C63" s="188"/>
      <c r="D63" s="189"/>
      <c r="E63" s="189"/>
      <c r="F63" s="176"/>
      <c r="G63" s="176"/>
      <c r="H63" s="176"/>
      <c r="I63" s="176"/>
      <c r="J63" s="185"/>
      <c r="K63" s="185"/>
      <c r="L63" s="185"/>
      <c r="M63" s="185"/>
      <c r="N63" s="185"/>
      <c r="O63" s="185"/>
      <c r="P63" s="185"/>
      <c r="Q63" s="185"/>
      <c r="R63" s="185"/>
      <c r="S63" s="185"/>
    </row>
    <row r="64" ht="16.5">
      <c r="A64" s="186">
        <v>3</v>
      </c>
      <c r="B64" s="187"/>
      <c r="C64" s="188"/>
      <c r="D64" s="189"/>
      <c r="E64" s="189"/>
      <c r="F64" s="176"/>
      <c r="G64" s="176"/>
      <c r="H64" s="176"/>
      <c r="I64" s="176"/>
      <c r="J64" s="185"/>
      <c r="K64" s="185"/>
      <c r="L64" s="185"/>
      <c r="M64" s="185"/>
      <c r="N64" s="185"/>
      <c r="O64" s="185"/>
      <c r="P64" s="185"/>
      <c r="Q64" s="185"/>
      <c r="R64" s="185"/>
      <c r="S64" s="185"/>
    </row>
    <row r="65" ht="15.6">
      <c r="A65" s="186">
        <v>4</v>
      </c>
      <c r="B65" s="187"/>
      <c r="C65" s="188"/>
      <c r="D65" s="189"/>
      <c r="E65" s="189"/>
      <c r="F65" s="176"/>
      <c r="G65" s="176"/>
      <c r="H65" s="176"/>
      <c r="I65" s="176"/>
      <c r="J65" s="185"/>
      <c r="K65" s="185"/>
      <c r="L65" s="185"/>
      <c r="M65" s="185"/>
      <c r="N65" s="185"/>
      <c r="O65" s="185"/>
      <c r="P65" s="185"/>
      <c r="Q65" s="185"/>
      <c r="R65" s="185"/>
      <c r="S65" s="185"/>
    </row>
    <row r="66" ht="15.6">
      <c r="A66" s="186">
        <v>5</v>
      </c>
      <c r="B66" s="187"/>
      <c r="C66" s="188"/>
      <c r="D66" s="189"/>
      <c r="E66" s="189"/>
      <c r="F66" s="176"/>
      <c r="G66" s="176"/>
      <c r="H66" s="176"/>
      <c r="I66" s="176"/>
      <c r="J66" s="185"/>
      <c r="K66" s="185"/>
      <c r="L66" s="185"/>
      <c r="M66" s="185"/>
      <c r="N66" s="185"/>
      <c r="O66" s="185"/>
      <c r="P66" s="185"/>
      <c r="Q66" s="185"/>
      <c r="R66" s="185"/>
      <c r="S66" s="185"/>
    </row>
    <row r="67" ht="114" customHeight="1">
      <c r="A67" s="190" t="s">
        <v>1767</v>
      </c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</row>
  </sheetData>
  <sheetProtection autoFilter="1" deleteColumns="1" deleteRows="1" formatCells="1" formatColumns="1" formatRows="1" insertColumns="1" insertHyperlinks="1" insertRows="1" pivotTables="1" selectLockedCells="1" selectUnlockedCells="0" sheet="0" sort="1"/>
  <mergeCells count="38">
    <mergeCell ref="A1:R8"/>
    <mergeCell ref="S1:S4"/>
    <mergeCell ref="S5:S8"/>
    <mergeCell ref="A9:S9"/>
    <mergeCell ref="A10:S10"/>
    <mergeCell ref="A11:S11"/>
    <mergeCell ref="A12:S12"/>
    <mergeCell ref="A13:S13"/>
    <mergeCell ref="A14:F14"/>
    <mergeCell ref="G14:J14"/>
    <mergeCell ref="K14:S14"/>
    <mergeCell ref="A15:R15"/>
    <mergeCell ref="A16:S16"/>
    <mergeCell ref="A17:D17"/>
    <mergeCell ref="E17:H17"/>
    <mergeCell ref="I17:O17"/>
    <mergeCell ref="P17:S17"/>
    <mergeCell ref="A18:D18"/>
    <mergeCell ref="E18:H18"/>
    <mergeCell ref="I18:O18"/>
    <mergeCell ref="P18:S18"/>
    <mergeCell ref="A19:S19"/>
    <mergeCell ref="A60:I60"/>
    <mergeCell ref="J60:S60"/>
    <mergeCell ref="D61:E61"/>
    <mergeCell ref="F61:I61"/>
    <mergeCell ref="J61:S66"/>
    <mergeCell ref="D62:E62"/>
    <mergeCell ref="F62:I62"/>
    <mergeCell ref="D63:E63"/>
    <mergeCell ref="F63:I63"/>
    <mergeCell ref="D64:E64"/>
    <mergeCell ref="F64:I64"/>
    <mergeCell ref="D65:E65"/>
    <mergeCell ref="F65:I65"/>
    <mergeCell ref="D66:E66"/>
    <mergeCell ref="F66:I66"/>
    <mergeCell ref="A67:S67"/>
  </mergeCells>
  <dataValidations count="1" disablePrompts="0" xWindow="90" yWindow="367">
    <dataValidation sqref="R21:R59" type="list" allowBlank="1" errorStyle="stop" imeMode="noControl" operator="between" showDropDown="0" showErrorMessage="1" showInputMessage="1">
      <formula1>Listas!$G$2:$G$3</formula1>
    </dataValidation>
  </dataValidations>
  <hyperlinks>
    <hyperlink r:id="rId1" ref="H2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5" id="{00F9007D-007A-466F-9305-00BD005D008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A16</xm:sqref>
        </x14:conditionalFormatting>
        <x14:conditionalFormatting xmlns:xm="http://schemas.microsoft.com/office/excel/2006/main">
          <x14:cfRule type="duplicateValues" priority="14" id="{0056009C-00D9-4987-ABAA-003B00D6004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A17</xm:sqref>
        </x14:conditionalFormatting>
        <x14:conditionalFormatting xmlns:xm="http://schemas.microsoft.com/office/excel/2006/main">
          <x14:cfRule type="duplicateValues" priority="12" id="{005400BF-0085-40C5-80EF-008E00E800D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A19</xm:sqref>
        </x14:conditionalFormatting>
        <x14:conditionalFormatting xmlns:xm="http://schemas.microsoft.com/office/excel/2006/main">
          <x14:cfRule type="containsText" priority="11" operator="containsText" text="Seleccione un Rol/Cargo" id="{008B007A-008B-4804-8F93-00A000E600DC}">
            <xm:f>NOT(ISERROR(SEARCH("Seleccione un Rol/Cargo",K21)))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K21:K59</xm:sqref>
        </x14:conditionalFormatting>
        <x14:conditionalFormatting xmlns:xm="http://schemas.microsoft.com/office/excel/2006/main">
          <x14:cfRule type="duplicateValues" priority="162" id="{00FD0051-0004-43B2-A042-0087003800E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N20:R20 A20:L20 Q21:R59 C21:H59 A21:A59</xm:sqref>
        </x14:conditionalFormatting>
        <x14:conditionalFormatting xmlns:xm="http://schemas.microsoft.com/office/excel/2006/main">
          <x14:cfRule type="duplicateValues" priority="13" id="{003800B8-00FF-4A65-9419-0063008C00D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P17:R17 E17</xm:sqref>
        </x14:conditionalFormatting>
        <x14:conditionalFormatting xmlns:xm="http://schemas.microsoft.com/office/excel/2006/main">
          <x14:cfRule type="duplicateValues" priority="10" id="{00A80001-001F-49CB-A018-005F004600E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S20</xm:sqref>
        </x14:conditionalFormatting>
        <x14:conditionalFormatting xmlns:xm="http://schemas.microsoft.com/office/excel/2006/main">
          <x14:cfRule type="containsText" priority="11" operator="containsText" text="Seleccione un Rol/Cargo" id="{00160094-0034-4D2D-93A6-00BA00A10005}">
            <xm:f>NOT(ISERROR(SEARCH("Seleccione un Rol/Cargo",K21)))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K21</xm:sqref>
        </x14:conditionalFormatting>
        <x14:conditionalFormatting xmlns:xm="http://schemas.microsoft.com/office/excel/2006/main">
          <x14:cfRule type="duplicateValues" priority="162" id="{00F9001C-00BF-411F-BA7B-006E001B006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C21:H21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5" disablePrompts="0" xWindow="90" yWindow="367">
        <x14:dataValidation xr:uid="{006700E8-0013-4E7F-BE18-005B0080004B}" type="list" allowBlank="1" errorStyle="stop" imeMode="noControl" operator="between" showDropDown="0" showErrorMessage="1" showInputMessage="1">
          <x14:formula1>
            <xm:f>Tipo_De_Solicitud</xm:f>
          </x14:formula1>
          <xm:sqref>B62:B66</xm:sqref>
        </x14:dataValidation>
        <x14:dataValidation xr:uid="{006C00CD-0016-4967-983F-001400480059}" type="list" allowBlank="1" errorStyle="stop" imeMode="noControl" operator="between" showDropDown="0" showErrorMessage="1" showInputMessage="1">
          <x14:formula1>
            <xm:f>Rol</xm:f>
          </x14:formula1>
          <xm:sqref>K22:K59</xm:sqref>
        </x14:dataValidation>
        <x14:dataValidation xr:uid="{002800FA-000A-4BBB-A2CA-0075008700B7}" type="list" allowBlank="1" errorStyle="stop" imeMode="noControl" operator="between" showDropDown="0" showErrorMessage="1" showInputMessage="1">
          <x14:formula1>
            <xm:f>Tipo_De_Contrato</xm:f>
          </x14:formula1>
          <xm:sqref>I22:I59</xm:sqref>
        </x14:dataValidation>
        <x14:dataValidation xr:uid="{0072003E-0063-4827-9D4C-004700680025}" type="list" allowBlank="1" errorStyle="stop" imeMode="noControl" operator="between" showDropDown="0" showErrorMessage="1" showInputMessage="1">
          <x14:formula1>
            <xm:f>Sedes</xm:f>
          </x14:formula1>
          <xm:sqref>L22 L23:L24 L25:L26 L27:L28 L29:L30 L31:L32 L33:L34 L35:L36 L37:L38 L39:L40 L41:L42 L43:L44 L45:L46 L47:L48 L49:L50 L51:L52 L53:L54 L55:L56 L57:L58</xm:sqref>
        </x14:dataValidation>
        <x14:dataValidation xr:uid="{000600CA-000B-4AAC-996B-0022009900E3}" type="list" allowBlank="1" errorStyle="stop" imeMode="noControl" operator="between" showDropDown="0" showErrorMessage="1" showInputMessage="1">
          <x14:formula1>
            <xm:f>INDIRECT(SUBSTITUTE(I21," "," _"))</xm:f>
          </x14:formula1>
          <xm:sqref>J22:J59</xm:sqref>
        </x14:dataValidation>
        <x14:dataValidation xr:uid="{00AC0026-00F8-42F5-AE51-002B00DF0053}" type="whole" allowBlank="1" error="LA EXTENSION DEBE TENER 5 DIGITOS " errorStyle="stop" errorTitle="ERROR EN EXTENSION" imeMode="noControl" operator="between" prompt="SI TIENE EXTENSION INGRESELA" promptTitle="NUMERO DE EXTENSION" showDropDown="0" showErrorMessage="1" showInputMessage="1">
          <x14:formula1>
            <xm:f>10000</xm:f>
          </x14:formula1>
          <x14:formula2>
            <xm:f>99999</xm:f>
          </x14:formula2>
          <xm:sqref>P21:P59</xm:sqref>
        </x14:dataValidation>
        <x14:dataValidation xr:uid="{00CB0062-008B-4CA5-8231-0091009B007F}" type="date" allowBlank="1" errorStyle="stop" imeMode="noControl" operator="between" showDropDown="0" showErrorMessage="1" showInputMessage="1">
          <x14:formula1>
            <xm:f>44927</xm:f>
          </x14:formula1>
          <x14:formula2>
            <xm:f>47848</xm:f>
          </x14:formula2>
          <xm:sqref>Q21:Q59</xm:sqref>
        </x14:dataValidation>
        <x14:dataValidation xr:uid="{00F0008E-004E-460D-8E25-001000A900F4}" type="list" allowBlank="1" errorStyle="stop" imeMode="noControl" operator="between" prompt="- Crear: El funcionario es nuevo&#10;- Modificar: La cuenta existe y se va a modificar algún parámetro&#10;- Activar: La cuenta existe pero se encuentra caducada&#10;- Inactivar: Se requiere inactivar alguna cuenta existente&#10;&#10;&#10;                *Campo Obligatorio*" promptTitle="Seleccione el tipo de solicitud" showDropDown="0" showErrorMessage="1" showInputMessage="1">
          <x14:formula1>
            <xm:f>Tipo_De_Solicitud</xm:f>
          </x14:formula1>
          <xm:sqref>B22:B59</xm:sqref>
        </x14:dataValidation>
        <x14:dataValidation xr:uid="{000E009A-001E-44BB-B52F-005300B000E8}" type="custom" allowBlank="1" error="SI LA SOLICITUD ES CREAR NO INGRESE CORREO" errorStyle="stop" imeMode="noControl" operator="between" showDropDown="0" showErrorMessage="1" showInputMessage="1">
          <x14:formula1>
            <xm:f>(OR(B21="Modificar",B21="Activar",B21="Inactivar"))</xm:f>
          </x14:formula1>
          <xm:sqref>C22:C59</xm:sqref>
        </x14:dataValidation>
        <x14:dataValidation xr:uid="{003C009E-00EE-4BBD-AB97-00C800C500FD}" type="list" allowBlank="1" errorStyle="stop" imeMode="noControl" operator="between" showDropDown="0" showErrorMessage="1" showInputMessage="1">
          <x14:formula1>
            <xm:f>Rol</xm:f>
          </x14:formula1>
          <xm:sqref>K21</xm:sqref>
        </x14:dataValidation>
        <x14:dataValidation xr:uid="{00AF00FA-00D9-4EBB-A05D-0077002F008A}" type="list" allowBlank="1" errorStyle="stop" imeMode="noControl" operator="between" showDropDown="0" showErrorMessage="1" showInputMessage="1">
          <x14:formula1>
            <xm:f>Tipo_De_Contrato</xm:f>
          </x14:formula1>
          <xm:sqref>I21</xm:sqref>
        </x14:dataValidation>
        <x14:dataValidation xr:uid="{00410080-0058-4B59-947D-00CA000A0083}" type="list" allowBlank="1" errorStyle="stop" imeMode="noControl" operator="between" showDropDown="0" showErrorMessage="1" showInputMessage="1">
          <x14:formula1>
            <xm:f>Sedes</xm:f>
          </x14:formula1>
          <xm:sqref>L21</xm:sqref>
        </x14:dataValidation>
        <x14:dataValidation xr:uid="{00EF00D3-0070-4EF2-B69F-00D500D40009}" type="list" allowBlank="1" errorStyle="stop" imeMode="noControl" operator="between" showDropDown="0" showErrorMessage="1" showInputMessage="1">
          <x14:formula1>
            <xm:f>INDIRECT(SUBSTITUTE(I19," "," _"))</xm:f>
          </x14:formula1>
          <xm:sqref>J21</xm:sqref>
        </x14:dataValidation>
        <x14:dataValidation xr:uid="{0014002F-007F-4D8A-8E52-00E1009B0035}" type="list" allowBlank="1" errorStyle="stop" imeMode="noControl" operator="between" prompt="- Crear: El funcionario es nuevo&#10;- Modificar: La cuenta existe y se va a modificar algún parámetro&#10;- Activar: La cuenta existe pero se encuentra caducada&#10;- Inactivar: Se requiere inactivar alguna cuenta existente&#10;&#10;&#10;                *Campo Obligatorio*" promptTitle="Seleccione el tipo de solicitud" showDropDown="0" showErrorMessage="1" showInputMessage="1">
          <x14:formula1>
            <xm:f>Tipo_De_Solicitud</xm:f>
          </x14:formula1>
          <xm:sqref>B21</xm:sqref>
        </x14:dataValidation>
        <x14:dataValidation xr:uid="{00030019-003E-4F80-89BF-004300A600AF}" type="custom" allowBlank="1" error="SI LA SOLICITUD ES CREAR NO INGRESE CORREO" errorStyle="stop" imeMode="noControl" operator="between" showDropDown="0" showErrorMessage="1" showInputMessage="1">
          <x14:formula1>
            <xm:f>(OR(B19="Modificar",B19="Activar",B19="Inactivar"))</xm:f>
          </x14:formula1>
          <xm:sqref>C21</xm:sqref>
        </x14:dataValidation>
      </x14:dataValidations>
    </ext>
  </extLst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B779F3C50FEF49947DFDCD5DE47820" ma:contentTypeVersion="1" ma:contentTypeDescription="Create a new document." ma:contentTypeScope="" ma:versionID="549c385ad2ad7597b8fa6bedc84cf604">
  <xsd:schema xmlns:xsd="http://www.w3.org/2001/XMLSchema" xmlns:xs="http://www.w3.org/2001/XMLSchema" xmlns:p="http://schemas.microsoft.com/office/2006/metadata/properties" xmlns:ns2="9d470df7-89ab-491f-b0b0-26369e2267dd" targetNamespace="http://schemas.microsoft.com/office/2006/metadata/properties" ma:root="true" ma:fieldsID="b6a756ebb3e1f3646d959e0e674f8eca" ns2:_="">
    <xsd:import namespace="9d470df7-89ab-491f-b0b0-26369e2267dd"/>
    <xsd:element name="properties">
      <xsd:complexType>
        <xsd:sequence>
          <xsd:element name="documentManagement">
            <xsd:complexType>
              <xsd:all>
                <xsd:element ref="ns2:Versi_x00f3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470df7-89ab-491f-b0b0-26369e2267dd" elementFormDefault="qualified">
    <xsd:import namespace="http://schemas.microsoft.com/office/2006/documentManagement/types"/>
    <xsd:import namespace="http://schemas.microsoft.com/office/infopath/2007/PartnerControls"/>
    <xsd:element name="Versi_x00f3_n" ma:index="8" nillable="true" ma:displayName="Versión" ma:internalName="Versi_x00f3_n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rsi_x00f3_n xmlns="9d470df7-89ab-491f-b0b0-26369e2267dd">4</Versi_x00f3_n>
  </documentManagement>
</p:properties>
</file>

<file path=customXml/itemProps1.xml><?xml version="1.0" encoding="utf-8"?>
<ds:datastoreItem xmlns:ds="http://schemas.openxmlformats.org/officeDocument/2006/customXml" ds:itemID="{9446A48F-1DE8-4858-A820-006DECE408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97972F-05AF-4B9F-A767-F33EF7D93D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470df7-89ab-491f-b0b0-26369e2267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705739-251F-4232-B5FA-7614BA6B3758}">
  <ds:schemaRefs>
    <ds:schemaRef ds:uri="http://schemas.microsoft.com/office/2006/metadata/properties"/>
    <ds:schemaRef ds:uri="http://www.w3.org/2001/XMLSchema-instance"/>
    <ds:schemaRef ds:uri="http://schemas.microsoft.com/office/infopath/2007/PartnerControls"/>
    <ds:schemaRef ds:uri="9d470df7-89ab-491f-b0b0-26369e2267d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GR-AC-F026D - Peticion de Acceso - DA y Correo Electronico v4</dc:title>
  <dc:subject/>
  <dc:creator>lavega1</dc:creator>
  <cp:keywords/>
  <dc:description/>
  <cp:revision>5</cp:revision>
  <dcterms:created xsi:type="dcterms:W3CDTF">2008-11-13T16:12:11Z</dcterms:created>
  <dcterms:modified xsi:type="dcterms:W3CDTF">2026-02-04T15:11:31Z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0x01010029B779F3C50FEF49947DFDCD5DE47820</vt:lpwstr>
  </property>
  <property fmtid="{D5CDD505-2E9C-101B-9397-08002B2CF9AE}" pid="3" name="MSIP_Label_fc111285-cafa-4fc9-8a9a-bd902089b24f_Enabled">
    <vt:lpwstr>true</vt:lpwstr>
  </property>
  <property fmtid="{D5CDD505-2E9C-101B-9397-08002B2CF9AE}" pid="4" name="MSIP_Label_fc111285-cafa-4fc9-8a9a-bd902089b24f_SetDate">
    <vt:lpwstr>2024-12-23T19:43:41Z</vt:lpwstr>
  </property>
  <property fmtid="{D5CDD505-2E9C-101B-9397-08002B2CF9AE}" pid="5" name="MSIP_Label_fc111285-cafa-4fc9-8a9a-bd902089b24f_Method">
    <vt:lpwstr>Privileged</vt:lpwstr>
  </property>
  <property fmtid="{D5CDD505-2E9C-101B-9397-08002B2CF9AE}" pid="6" name="MSIP_Label_fc111285-cafa-4fc9-8a9a-bd902089b24f_Name">
    <vt:lpwstr>Public</vt:lpwstr>
  </property>
  <property fmtid="{D5CDD505-2E9C-101B-9397-08002B2CF9AE}" pid="7" name="MSIP_Label_fc111285-cafa-4fc9-8a9a-bd902089b24f_SiteId">
    <vt:lpwstr>cbc2c381-2f2e-4d93-91d1-506c9316ace7</vt:lpwstr>
  </property>
  <property fmtid="{D5CDD505-2E9C-101B-9397-08002B2CF9AE}" pid="8" name="MSIP_Label_fc111285-cafa-4fc9-8a9a-bd902089b24f_ActionId">
    <vt:lpwstr>0f0123b0-102e-4d8b-8819-bdb2010609c2</vt:lpwstr>
  </property>
  <property fmtid="{D5CDD505-2E9C-101B-9397-08002B2CF9AE}" pid="9" name="MSIP_Label_fc111285-cafa-4fc9-8a9a-bd902089b24f_ContentBits">
    <vt:lpwstr>0</vt:lpwstr>
  </property>
</Properties>
</file>